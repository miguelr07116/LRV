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07116/Documents/LRV/Conciliacion/20250825_1610/"/>
    </mc:Choice>
  </mc:AlternateContent>
  <xr:revisionPtr revIDLastSave="0" documentId="13_ncr:1_{F4A16519-33D8-3649-99D7-06D31CC8BC4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BANCOS" sheetId="1" r:id="rId1"/>
    <sheet name="SISTEMA" sheetId="2" r:id="rId2"/>
  </sheets>
  <externalReferences>
    <externalReference r:id="rId3"/>
  </externalReferences>
  <definedNames>
    <definedName name="_xlnm._FilterDatabase" localSheetId="0" hidden="1">BANCOS!$A$1:$G$1</definedName>
    <definedName name="_xlnm._FilterDatabase" localSheetId="1" hidden="1">SISTEMA!$A$1:$G$1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3" i="1" l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39" i="1"/>
  <c r="G255" i="1"/>
  <c r="G256" i="1"/>
  <c r="G257" i="1"/>
  <c r="G258" i="1"/>
  <c r="G259" i="1"/>
  <c r="G260" i="1"/>
  <c r="G261" i="1"/>
  <c r="G262" i="1"/>
  <c r="G263" i="1"/>
  <c r="G88" i="1"/>
  <c r="G265" i="1"/>
  <c r="G266" i="1"/>
  <c r="G267" i="1"/>
  <c r="G268" i="1"/>
  <c r="G269" i="1"/>
  <c r="G270" i="1"/>
  <c r="G114" i="1"/>
  <c r="G272" i="1"/>
  <c r="G3" i="1"/>
  <c r="G4" i="1"/>
  <c r="G5" i="1"/>
  <c r="G6" i="1"/>
  <c r="G7" i="1"/>
  <c r="G8" i="1"/>
  <c r="G71" i="1"/>
  <c r="G10" i="1"/>
  <c r="G9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123" i="1"/>
  <c r="G61" i="1"/>
  <c r="G164" i="1"/>
  <c r="G167" i="1"/>
  <c r="G36" i="1"/>
  <c r="G254" i="1"/>
  <c r="G85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174" i="1"/>
  <c r="G62" i="1"/>
  <c r="G170" i="1"/>
  <c r="G64" i="1"/>
  <c r="G65" i="1"/>
  <c r="G66" i="1"/>
  <c r="G67" i="1"/>
  <c r="G68" i="1"/>
  <c r="G69" i="1"/>
  <c r="G35" i="1"/>
  <c r="G169" i="1"/>
  <c r="G72" i="1"/>
  <c r="G73" i="1"/>
  <c r="G74" i="1"/>
  <c r="G75" i="1"/>
  <c r="G41" i="1"/>
  <c r="G77" i="1"/>
  <c r="G38" i="1"/>
  <c r="G79" i="1"/>
  <c r="G80" i="1"/>
  <c r="G81" i="1"/>
  <c r="G82" i="1"/>
  <c r="G83" i="1"/>
  <c r="G84" i="1"/>
  <c r="G271" i="1"/>
  <c r="G90" i="1"/>
  <c r="G176" i="1"/>
  <c r="G173" i="1"/>
  <c r="G163" i="1"/>
  <c r="G122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78" i="1"/>
  <c r="G115" i="1"/>
  <c r="G70" i="1"/>
  <c r="G117" i="1"/>
  <c r="G118" i="1"/>
  <c r="G119" i="1"/>
  <c r="G120" i="1"/>
  <c r="G121" i="1"/>
  <c r="G166" i="1"/>
  <c r="G87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1" i="1"/>
  <c r="G168" i="1"/>
  <c r="G40" i="1"/>
  <c r="G37" i="1"/>
  <c r="G264" i="1"/>
  <c r="G89" i="1"/>
  <c r="G175" i="1"/>
  <c r="G171" i="1"/>
  <c r="G162" i="1"/>
  <c r="G116" i="1"/>
  <c r="G172" i="1"/>
  <c r="G76" i="1"/>
  <c r="G63" i="1"/>
  <c r="G165" i="1"/>
  <c r="G8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" i="1"/>
  <c r="D274" i="1"/>
  <c r="D275" i="1" s="1"/>
  <c r="E274" i="1"/>
  <c r="E275" i="1" s="1"/>
  <c r="F29" i="2"/>
  <c r="G29" i="2"/>
</calcChain>
</file>

<file path=xl/sharedStrings.xml><?xml version="1.0" encoding="utf-8"?>
<sst xmlns="http://schemas.openxmlformats.org/spreadsheetml/2006/main" count="898" uniqueCount="397">
  <si>
    <t>FECHA</t>
  </si>
  <si>
    <t>N.DOC.</t>
  </si>
  <si>
    <t>DESCRIPCION</t>
  </si>
  <si>
    <t>INGRESO</t>
  </si>
  <si>
    <t>EGRESO</t>
  </si>
  <si>
    <t>BENEFICIARIO</t>
  </si>
  <si>
    <t>901563796</t>
  </si>
  <si>
    <t>14493209-DINERS CLUB DEL-N2-9600668636</t>
  </si>
  <si>
    <t>47661038</t>
  </si>
  <si>
    <t>TRANSFERENCIA INTERNET</t>
  </si>
  <si>
    <t>MARTINEZ RAMON MARIA</t>
  </si>
  <si>
    <t>77127432</t>
  </si>
  <si>
    <t>TRANSFERENCIA INTERBANCARIA RECIBIDA</t>
  </si>
  <si>
    <t>REVISAR</t>
  </si>
  <si>
    <t>11031842</t>
  </si>
  <si>
    <t>**COMISION PAGO TARJETA INTERBANCARIA ENV</t>
  </si>
  <si>
    <t>**_COSTOS BANCARIOS_**</t>
  </si>
  <si>
    <t>IVA COBRADO</t>
  </si>
  <si>
    <t>PAGO TARJETA INTERBANCARIA ENVIADA</t>
  </si>
  <si>
    <t>11192303</t>
  </si>
  <si>
    <t>11302043</t>
  </si>
  <si>
    <t>MULTIENCENDIDO S A</t>
  </si>
  <si>
    <t>44207883</t>
  </si>
  <si>
    <t>LUIS RODRIGUEZ</t>
  </si>
  <si>
    <t>54970604</t>
  </si>
  <si>
    <t>REMESA CHEQUES</t>
  </si>
  <si>
    <t>76008420</t>
  </si>
  <si>
    <t>14519805-DINERS CLUB DEL-N2-3670723033</t>
  </si>
  <si>
    <t>28839208</t>
  </si>
  <si>
    <t>PILLIGUA PONCE ARNULFO DIOMEDES</t>
  </si>
  <si>
    <t>35796463</t>
  </si>
  <si>
    <t>14521825-DINERS CLUB DEL-N2-1320001173</t>
  </si>
  <si>
    <t>50472018</t>
  </si>
  <si>
    <t>BALMER IMPORT SA</t>
  </si>
  <si>
    <t>68113767</t>
  </si>
  <si>
    <t>14530904-DINERS CLUB DEL-N2-3930739615</t>
  </si>
  <si>
    <t>19866089</t>
  </si>
  <si>
    <t>GAVELA MOYA JAIME JAVIER</t>
  </si>
  <si>
    <t>51192119</t>
  </si>
  <si>
    <t>PAGO IESS - 200789716 - WEB</t>
  </si>
  <si>
    <t>INSTITUTO ECUATORIANO DE SEGURIDAD SOCIAL IESS</t>
  </si>
  <si>
    <t>51194748</t>
  </si>
  <si>
    <t>**PAGO IESS - 200789716 - WEB</t>
  </si>
  <si>
    <t>51198297</t>
  </si>
  <si>
    <t>IVA PAGO IESS</t>
  </si>
  <si>
    <t>65752063</t>
  </si>
  <si>
    <t>**COMISION TRANSFERENCIA INTERBANCARIA EN</t>
  </si>
  <si>
    <t>TRANSFERENCIA INTERBANCARIA ENVIADA</t>
  </si>
  <si>
    <t>PRO AUDITS SAS</t>
  </si>
  <si>
    <t>13080293</t>
  </si>
  <si>
    <t>CADENA MORA MONICA TERESA</t>
  </si>
  <si>
    <t>23211798</t>
  </si>
  <si>
    <t>MAYA IZURIETA FELIPE DAMIAN</t>
  </si>
  <si>
    <t>26134675</t>
  </si>
  <si>
    <t>REVISAR TRF LRV</t>
  </si>
  <si>
    <t>17253</t>
  </si>
  <si>
    <t>PAGO CHEQUE</t>
  </si>
  <si>
    <t>147517107</t>
  </si>
  <si>
    <t>147575819</t>
  </si>
  <si>
    <t>DEPOSITO EFECTIVIZADO</t>
  </si>
  <si>
    <t>153350053</t>
  </si>
  <si>
    <t>**COBRO INTERBANCARIO RECIBIDO COMISION</t>
  </si>
  <si>
    <t>COSTO IVA CASH</t>
  </si>
  <si>
    <t>COBRO INTERBANCARIO RECIBIDO</t>
  </si>
  <si>
    <t>153350404</t>
  </si>
  <si>
    <t>169402423</t>
  </si>
  <si>
    <t>**COSTO OPER CASH</t>
  </si>
  <si>
    <t>14552012-CORPORACION NAC-CT-CC 301362750</t>
  </si>
  <si>
    <t>170049354</t>
  </si>
  <si>
    <t>171037751</t>
  </si>
  <si>
    <t>196562115</t>
  </si>
  <si>
    <t>14556699-DINERS CLUB DEL-N2-57040796300</t>
  </si>
  <si>
    <t>28561778</t>
  </si>
  <si>
    <t>BARBOSA ORTIZ PATRICIO GERMANICO</t>
  </si>
  <si>
    <t>34969677</t>
  </si>
  <si>
    <t>TIPAN ROJAS JOSE RICARDO</t>
  </si>
  <si>
    <t>42521920</t>
  </si>
  <si>
    <t>LOPEZ CARRILLO LUIS ANTONIO</t>
  </si>
  <si>
    <t>42998141</t>
  </si>
  <si>
    <t>POZO BONILLA HENRY</t>
  </si>
  <si>
    <t>52234463</t>
  </si>
  <si>
    <t>AYALA LOPEZ JEFFERSON ANDRES</t>
  </si>
  <si>
    <t>57803880</t>
  </si>
  <si>
    <t>MIRANDA TIPAN DAVID ANDRES</t>
  </si>
  <si>
    <t>59800607</t>
  </si>
  <si>
    <t>MORALES PERALTA LUIS ALEXANDER</t>
  </si>
  <si>
    <t>17258</t>
  </si>
  <si>
    <t>PAGO CHEQUE CAMARA</t>
  </si>
  <si>
    <t>8621481</t>
  </si>
  <si>
    <t>DEP CNB 1726485129001</t>
  </si>
  <si>
    <t>15540711</t>
  </si>
  <si>
    <t>YUGSI PALLO CARMEN ELIZABETH</t>
  </si>
  <si>
    <t>32788183</t>
  </si>
  <si>
    <t>VELASQUEZ ZAMBRANO CELIA DE LOS ANGELES</t>
  </si>
  <si>
    <t>43045076</t>
  </si>
  <si>
    <t>PERALTA PUEBLA BOLIVAR ANTONIO</t>
  </si>
  <si>
    <t>55807118</t>
  </si>
  <si>
    <t>RAMOS MARCO PATRICIO</t>
  </si>
  <si>
    <t>68087601</t>
  </si>
  <si>
    <t>14570051-DINERS CLUB DEL-N2-3890832883</t>
  </si>
  <si>
    <t>17567239</t>
  </si>
  <si>
    <t>CRUZ IZURIETA JORGE ALBERTO</t>
  </si>
  <si>
    <t>19649619</t>
  </si>
  <si>
    <t>BUENANO MIELES LEONARDO SEBASTIAN</t>
  </si>
  <si>
    <t>23150828</t>
  </si>
  <si>
    <t>PEREZ JARAMILLO ALEX JAVIER</t>
  </si>
  <si>
    <t>27297262</t>
  </si>
  <si>
    <t>47126237</t>
  </si>
  <si>
    <t>BUITRON LUCERO LUIS ABRAHAN</t>
  </si>
  <si>
    <t>47360123</t>
  </si>
  <si>
    <t>MONTENEGRO MORALES PAOLA ANDREA</t>
  </si>
  <si>
    <t>48986736</t>
  </si>
  <si>
    <t>LLUGLLA MORALES CHRISTOPHER ANDRE</t>
  </si>
  <si>
    <t>56005078</t>
  </si>
  <si>
    <t>RUSSO LOPEZ ANTONINO RAFAEL</t>
  </si>
  <si>
    <t>56016114</t>
  </si>
  <si>
    <t>57160350</t>
  </si>
  <si>
    <t>313013</t>
  </si>
  <si>
    <t>1190303</t>
  </si>
  <si>
    <t>14577440-DINERS CLUB DEL-N2-2200796419</t>
  </si>
  <si>
    <t>9082756</t>
  </si>
  <si>
    <t>11543039</t>
  </si>
  <si>
    <t>25071101EM71-BANCO DI-PAG-1380001176</t>
  </si>
  <si>
    <t>26062821</t>
  </si>
  <si>
    <t>SERRANO REQUENA MICHELLE KARINA</t>
  </si>
  <si>
    <t>30207786</t>
  </si>
  <si>
    <t>35905181</t>
  </si>
  <si>
    <t>NARANJO PINTO CARLOS ALONSO</t>
  </si>
  <si>
    <t>36875584</t>
  </si>
  <si>
    <t>TOAPANTA ORTIZ MAGALY ZULAY</t>
  </si>
  <si>
    <t>42820255</t>
  </si>
  <si>
    <t>53671448</t>
  </si>
  <si>
    <t>VORBECK MENA LARS ALEXANDER</t>
  </si>
  <si>
    <t>6050080</t>
  </si>
  <si>
    <t>17257</t>
  </si>
  <si>
    <t>64552449</t>
  </si>
  <si>
    <t>113805745</t>
  </si>
  <si>
    <t>PAGO IESS - 51275869 - WEB</t>
  </si>
  <si>
    <t>113809417</t>
  </si>
  <si>
    <t>**PAGO IESS - 51275869 - WEB</t>
  </si>
  <si>
    <t>113805817</t>
  </si>
  <si>
    <t>113914767</t>
  </si>
  <si>
    <t>125939391</t>
  </si>
  <si>
    <t>REYES ARCE TALY EUGENIA</t>
  </si>
  <si>
    <t>140712699</t>
  </si>
  <si>
    <t>NINO GARCES DANIEL RICARDO</t>
  </si>
  <si>
    <t>141406458</t>
  </si>
  <si>
    <t>25071401GK1V-BANCO DI-PAG-4210001177</t>
  </si>
  <si>
    <t>142473187</t>
  </si>
  <si>
    <t>PAZMINO DOMINGUEZ GRACE CAROLINA</t>
  </si>
  <si>
    <t>145084577</t>
  </si>
  <si>
    <t>MINA SILVA KATHERIN ELIZABETH</t>
  </si>
  <si>
    <t>152450929</t>
  </si>
  <si>
    <t>25070701A8W6-CORONEL-PAG-9</t>
  </si>
  <si>
    <t>152443908</t>
  </si>
  <si>
    <t>25070701A8W6-CORONEL-PAG-8</t>
  </si>
  <si>
    <t>164165860</t>
  </si>
  <si>
    <t>165101519</t>
  </si>
  <si>
    <t>NOVOA HERRERA RICARDO SANTIAGO</t>
  </si>
  <si>
    <t>110697</t>
  </si>
  <si>
    <t>2507151XGSV8-VISA BP-REC-44544500309945</t>
  </si>
  <si>
    <t>BANCO PICHINCHA C A</t>
  </si>
  <si>
    <t>17259</t>
  </si>
  <si>
    <t>17252</t>
  </si>
  <si>
    <t>20458075</t>
  </si>
  <si>
    <t>YUGSI PALLO ANA CRISTINA</t>
  </si>
  <si>
    <t>23399995</t>
  </si>
  <si>
    <t>25500542</t>
  </si>
  <si>
    <t>SANDOVAL ROSERO VICENTE RENE</t>
  </si>
  <si>
    <t>39750068</t>
  </si>
  <si>
    <t>MORALES ESPINOZA EDWIN REMIGIO</t>
  </si>
  <si>
    <t>50916609</t>
  </si>
  <si>
    <t>DEP CNB 1709165714001</t>
  </si>
  <si>
    <t>52863645</t>
  </si>
  <si>
    <t>DEPOSITO</t>
  </si>
  <si>
    <t>53012255</t>
  </si>
  <si>
    <t>63190182</t>
  </si>
  <si>
    <t>69500122</t>
  </si>
  <si>
    <t>14606567-DINERS CLUB DEL-N2-4070931767</t>
  </si>
  <si>
    <t>18604569</t>
  </si>
  <si>
    <t>VEINTIMILLA BERRONES PAUL ERNESTO</t>
  </si>
  <si>
    <t>18795230</t>
  </si>
  <si>
    <t>ZURITA MISNAZA FREDDY ALEXANDER</t>
  </si>
  <si>
    <t>32565439</t>
  </si>
  <si>
    <t>47425058</t>
  </si>
  <si>
    <t>GUEVARA ERAS BYRON DAVID</t>
  </si>
  <si>
    <t>67836186</t>
  </si>
  <si>
    <t>14614183-DINERS CLUB DEL-N2-4050947687</t>
  </si>
  <si>
    <t>14110096</t>
  </si>
  <si>
    <t>TECNOVA SA</t>
  </si>
  <si>
    <t>19054802</t>
  </si>
  <si>
    <t>NELSON GASPAR BUITRON VILLAVERDE</t>
  </si>
  <si>
    <t>33274855</t>
  </si>
  <si>
    <t>ORDONEZ CORDOVA FERNANDO FABIAN</t>
  </si>
  <si>
    <t>1284645</t>
  </si>
  <si>
    <t>14621672-DINERS CLUB DEL-N2-2010885369</t>
  </si>
  <si>
    <t>21732031</t>
  </si>
  <si>
    <t>CHALACAN BENALCAZAR LUIS MIGUEL</t>
  </si>
  <si>
    <t>66600332</t>
  </si>
  <si>
    <t>14630288-DINERS CLUB DEL-N2-4060984859</t>
  </si>
  <si>
    <t>17256</t>
  </si>
  <si>
    <t>109061750</t>
  </si>
  <si>
    <t>17255</t>
  </si>
  <si>
    <t>126925548</t>
  </si>
  <si>
    <t>126959442</t>
  </si>
  <si>
    <t>127040546</t>
  </si>
  <si>
    <t>141299289</t>
  </si>
  <si>
    <t>25072101PO9E-BANCO DI-PAG-4270001181</t>
  </si>
  <si>
    <t>152841506</t>
  </si>
  <si>
    <t>SEVILLA REYES HENRRY ALEXIS</t>
  </si>
  <si>
    <t>162785773</t>
  </si>
  <si>
    <t>25070701A5SO-CORONEL-PAG-12</t>
  </si>
  <si>
    <t>166951682</t>
  </si>
  <si>
    <t>17254</t>
  </si>
  <si>
    <t>16545768</t>
  </si>
  <si>
    <t>16665591</t>
  </si>
  <si>
    <t>17538985</t>
  </si>
  <si>
    <t>22611160</t>
  </si>
  <si>
    <t>PARAMO ANDRANGO FREDDY STEVEN</t>
  </si>
  <si>
    <t>23985715</t>
  </si>
  <si>
    <t>29343194</t>
  </si>
  <si>
    <t>FLORES ARELLANO JOFFRE OSWALDO</t>
  </si>
  <si>
    <t>35472385</t>
  </si>
  <si>
    <t>GUANOCHANGA CAIZA CARLOS ROBERTO</t>
  </si>
  <si>
    <t>41383058</t>
  </si>
  <si>
    <t>CHACON SANCHEZ HENRY RUBEN</t>
  </si>
  <si>
    <t>53868707</t>
  </si>
  <si>
    <t>ANDRADE RODRIGUEZ EDISSON PATRICIO</t>
  </si>
  <si>
    <t>12050940</t>
  </si>
  <si>
    <t>12198448</t>
  </si>
  <si>
    <t>13480031</t>
  </si>
  <si>
    <t>44965489</t>
  </si>
  <si>
    <t>45445932</t>
  </si>
  <si>
    <t>60790770</t>
  </si>
  <si>
    <t>14652266-DINERS CLUB DEL-N2-4031057861</t>
  </si>
  <si>
    <t>1837052</t>
  </si>
  <si>
    <t>FARINANGO QUILUMBAQUIN CRISTIAN JAVIER</t>
  </si>
  <si>
    <t>10945413</t>
  </si>
  <si>
    <t>BOADA CORDOVA CHRISTHIAN RAUL</t>
  </si>
  <si>
    <t>11042828</t>
  </si>
  <si>
    <t>11126858</t>
  </si>
  <si>
    <t>11186590</t>
  </si>
  <si>
    <t>11223382</t>
  </si>
  <si>
    <t>58108016</t>
  </si>
  <si>
    <t>14660376-DINERS CLUB DEL-N2-3981075115</t>
  </si>
  <si>
    <t>900540929</t>
  </si>
  <si>
    <t>14660516-DINERS CLUB DEL-N2-2110970294</t>
  </si>
  <si>
    <t>9863127</t>
  </si>
  <si>
    <t>17693562</t>
  </si>
  <si>
    <t>SUAREZ SALGADO RODRIGO MARCELO</t>
  </si>
  <si>
    <t>38278024</t>
  </si>
  <si>
    <t>PASQUEL RUPERTO FABIAN</t>
  </si>
  <si>
    <t>38464326</t>
  </si>
  <si>
    <t>38965123</t>
  </si>
  <si>
    <t>39273283</t>
  </si>
  <si>
    <t>MINCHALA CHOGLLO ROBERTO BOLIVAR</t>
  </si>
  <si>
    <t>40036047</t>
  </si>
  <si>
    <t>CASTRO CEVALLOS PABLO ARMANDO</t>
  </si>
  <si>
    <t>42294038</t>
  </si>
  <si>
    <t>ECHEVERRIA CHIMBORAZO JONATHAN PAUL</t>
  </si>
  <si>
    <t>49208217</t>
  </si>
  <si>
    <t>10334305</t>
  </si>
  <si>
    <t>116857155</t>
  </si>
  <si>
    <t>PAGO IESS - 26188554 - WEB</t>
  </si>
  <si>
    <t>116857448</t>
  </si>
  <si>
    <t>**PAGO IESS - 26188554 - WEB</t>
  </si>
  <si>
    <t>116857631</t>
  </si>
  <si>
    <t>117004413</t>
  </si>
  <si>
    <t>PAGO IESS - 26188555 - WEB</t>
  </si>
  <si>
    <t>117004666</t>
  </si>
  <si>
    <t>**PAGO IESS - 26188555 - WEB</t>
  </si>
  <si>
    <t>117004817</t>
  </si>
  <si>
    <t>117730068</t>
  </si>
  <si>
    <t>129845222</t>
  </si>
  <si>
    <t>AUTOREPUESTOS LUIS H RODRIGUEZ T C A</t>
  </si>
  <si>
    <t>129877951</t>
  </si>
  <si>
    <t>134073533</t>
  </si>
  <si>
    <t>17260</t>
  </si>
  <si>
    <t>146618288</t>
  </si>
  <si>
    <t>CADENA MORA SILVIA DEL PILAR</t>
  </si>
  <si>
    <t>146826579</t>
  </si>
  <si>
    <t>147171659</t>
  </si>
  <si>
    <t>147174815</t>
  </si>
  <si>
    <t>**REV_COMISION PAGO TARJETA INTERBANCARIA</t>
  </si>
  <si>
    <t>REV_PAGO TARJETA INTERBANCARIA ENVIADA</t>
  </si>
  <si>
    <t>147254119</t>
  </si>
  <si>
    <t>147255761</t>
  </si>
  <si>
    <t>147365088</t>
  </si>
  <si>
    <t>147366707</t>
  </si>
  <si>
    <t>157395953</t>
  </si>
  <si>
    <t>NUNEZ MORILLO JORGE EDUARDO</t>
  </si>
  <si>
    <t>159450816</t>
  </si>
  <si>
    <t>167081661</t>
  </si>
  <si>
    <t>177067020</t>
  </si>
  <si>
    <t>14674379-DINERS CLUB DEL-N2-58751139007</t>
  </si>
  <si>
    <t>1032435</t>
  </si>
  <si>
    <t>14674435-DINERS CLUB DEL-N2-2301001649</t>
  </si>
  <si>
    <t>20199090</t>
  </si>
  <si>
    <t>24624519</t>
  </si>
  <si>
    <t>26726424</t>
  </si>
  <si>
    <t>OVIEDO PEREZ JOEL DE JESUS</t>
  </si>
  <si>
    <t>30761834</t>
  </si>
  <si>
    <t>38768538</t>
  </si>
  <si>
    <t>25072901YDA6-INTERMOT-PAG-19</t>
  </si>
  <si>
    <t>39974259</t>
  </si>
  <si>
    <t>41856292</t>
  </si>
  <si>
    <t>DELAWER SA</t>
  </si>
  <si>
    <t>42007077</t>
  </si>
  <si>
    <t>FLI IMPORT SA FLIMPORTSA</t>
  </si>
  <si>
    <t>44002429</t>
  </si>
  <si>
    <t>50784386</t>
  </si>
  <si>
    <t>56057091</t>
  </si>
  <si>
    <t>CASA DEL RULIMAN DEL ECUADOR SA CARRULESA</t>
  </si>
  <si>
    <t>14303465</t>
  </si>
  <si>
    <t>17935189</t>
  </si>
  <si>
    <t>18988925</t>
  </si>
  <si>
    <t>20477366</t>
  </si>
  <si>
    <t>SUAREZ IDROVO PAMELA ELIZABETH</t>
  </si>
  <si>
    <t>26059025</t>
  </si>
  <si>
    <t>LINCANGO AGUAISA ELMER STEVEN</t>
  </si>
  <si>
    <t>26341830</t>
  </si>
  <si>
    <t>ROCHA VACA FREDDY SANTIAGO</t>
  </si>
  <si>
    <t>33891512</t>
  </si>
  <si>
    <t>AGUALONGO TSAMARAINT JEFFERSON JULIAN</t>
  </si>
  <si>
    <t>45971655</t>
  </si>
  <si>
    <t>MICHELET IZURIETA PHILIPPE</t>
  </si>
  <si>
    <t>49911806</t>
  </si>
  <si>
    <t>SALMANZADEH BELON NAIM MAHMUD</t>
  </si>
  <si>
    <t>51178310</t>
  </si>
  <si>
    <t>14674079-AUTOMOTORES Y A-RT-170679191800</t>
  </si>
  <si>
    <t>68200554</t>
  </si>
  <si>
    <t>14688082-DINERS CLUB DEL-N2-4081174025</t>
  </si>
  <si>
    <t>10537140</t>
  </si>
  <si>
    <t>VALLEJO BARROS GUILLERMO ANDY</t>
  </si>
  <si>
    <t>12157243</t>
  </si>
  <si>
    <t>15836273</t>
  </si>
  <si>
    <t>RAMIREZ ROJAS SONIA MADELAINE</t>
  </si>
  <si>
    <t>20549875</t>
  </si>
  <si>
    <t>21886107</t>
  </si>
  <si>
    <t>21895024</t>
  </si>
  <si>
    <t>22404972</t>
  </si>
  <si>
    <t>47259646</t>
  </si>
  <si>
    <t>250731021EPU-VELASTEG-PAG-1706791918</t>
  </si>
  <si>
    <t>58807902</t>
  </si>
  <si>
    <t>61717480</t>
  </si>
  <si>
    <t>MENENDEZ SANABRIA RICARDO XAVIER</t>
  </si>
  <si>
    <t>Beneficiario</t>
  </si>
  <si>
    <t>Doc. Origen</t>
  </si>
  <si>
    <t>Recibo</t>
  </si>
  <si>
    <t>Concepto</t>
  </si>
  <si>
    <t>RODRIGUEZ VILLAMARIN LUIS FERNANDO</t>
  </si>
  <si>
    <t>TRANSFERENCIA GENERADA DESDE DEPÓSITOS</t>
  </si>
  <si>
    <t>BYRON GUEVARA</t>
  </si>
  <si>
    <t>CE00009058</t>
  </si>
  <si>
    <t>ABONO SUELDO</t>
  </si>
  <si>
    <t>NOROÑA</t>
  </si>
  <si>
    <t>CE00009059</t>
  </si>
  <si>
    <t>SERVICIOS</t>
  </si>
  <si>
    <t>CHEVY TECH</t>
  </si>
  <si>
    <t>CB00002487</t>
  </si>
  <si>
    <t>Cobro CB00002487 valor de : 504.11    .</t>
  </si>
  <si>
    <t>CE00008936</t>
  </si>
  <si>
    <t>MONTENEGRO F/ 304</t>
  </si>
  <si>
    <t>EMPRESA ELECTRICA QUITO S.A. E.E.Q.</t>
  </si>
  <si>
    <t>CE00009064</t>
  </si>
  <si>
    <t>LUZ JUN 2025</t>
  </si>
  <si>
    <t>CE00009065</t>
  </si>
  <si>
    <t>CE00009060</t>
  </si>
  <si>
    <t>CE00009061</t>
  </si>
  <si>
    <t>CONDOR SIMBANA LUIS ARTURO</t>
  </si>
  <si>
    <t>CB00002484</t>
  </si>
  <si>
    <t>Cobro CB00002484 valor de : 246.65    .</t>
  </si>
  <si>
    <t>CE00009062</t>
  </si>
  <si>
    <t>CE00009063</t>
  </si>
  <si>
    <t>CE00008937</t>
  </si>
  <si>
    <t>LA PUNTA  AGROINDUSTRIAL SCC</t>
  </si>
  <si>
    <t>000016667</t>
  </si>
  <si>
    <t>51673187</t>
  </si>
  <si>
    <t>Venta: 001-002-000016667 Con el Total de: 331.20</t>
  </si>
  <si>
    <t>000016668</t>
  </si>
  <si>
    <t>Venta: 001-002-000016668 Con el Total de: 35.00</t>
  </si>
  <si>
    <t>ASIAUTO S.A.</t>
  </si>
  <si>
    <t>CB00002483</t>
  </si>
  <si>
    <t>Cobro CB00002483 valor de : 17.25     .</t>
  </si>
  <si>
    <t>RECORDMOTOR</t>
  </si>
  <si>
    <t>CB00002486</t>
  </si>
  <si>
    <t>Cobro CB00002486 valor de : 204.73    .</t>
  </si>
  <si>
    <t>CB00002485</t>
  </si>
  <si>
    <t>Cobro CB00002485 valor de : 460.02    .</t>
  </si>
  <si>
    <t>CE00009066</t>
  </si>
  <si>
    <t>CE00009118</t>
  </si>
  <si>
    <t>MONTNEGRO F/ 317</t>
  </si>
  <si>
    <t>INTERMOTORS ANDINA</t>
  </si>
  <si>
    <t>CB00002497</t>
  </si>
  <si>
    <t>30072025A</t>
  </si>
  <si>
    <t>Cobro CB00002497 valor de : 1050.58   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</si>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</sst>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44" fontId="1" fillId="0" borderId="1" xfId="0" applyNumberFormat="1" applyFont="1" applyBorder="1" applyAlignment="1">
      <alignment horizontal="center" vertical="top"/>
    </xf>
    <xf numFmtId="44" fontId="0" fillId="0" borderId="0" xfId="0" applyNumberFormat="1"/>
    <xf numFmtId="44" fontId="0" fillId="2" borderId="0" xfId="0" applyNumberFormat="1" applyFill="1"/>
    <xf numFmtId="44" fontId="0" fillId="3" borderId="0" xfId="0" applyNumberForma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guelr07116/Documents/LRV/Conciliacion/trf_jul.xlsx" TargetMode="External"/><Relationship Id="rId1" Type="http://schemas.openxmlformats.org/officeDocument/2006/relationships/externalLinkPath" Target="/Users/miguelr07116/Documents/LRV/Conciliacion/trf_j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vimientos"/>
    </sheetNames>
    <sheetDataSet>
      <sheetData sheetId="0">
        <row r="1">
          <cell r="I1" t="str">
            <v>18988925</v>
          </cell>
        </row>
        <row r="2">
          <cell r="I2" t="str">
            <v>14303465</v>
          </cell>
        </row>
        <row r="3">
          <cell r="I3" t="str">
            <v>39974259</v>
          </cell>
        </row>
        <row r="4">
          <cell r="I4" t="str">
            <v>20199090</v>
          </cell>
        </row>
        <row r="5">
          <cell r="I5" t="str">
            <v>146826579</v>
          </cell>
        </row>
        <row r="6">
          <cell r="I6" t="str">
            <v>146618288</v>
          </cell>
        </row>
        <row r="7">
          <cell r="I7" t="str">
            <v>129877951</v>
          </cell>
        </row>
        <row r="8">
          <cell r="I8" t="str">
            <v>129845222</v>
          </cell>
        </row>
        <row r="9">
          <cell r="I9" t="str">
            <v>16665591</v>
          </cell>
        </row>
        <row r="10">
          <cell r="I10" t="str">
            <v>109061750</v>
          </cell>
        </row>
        <row r="11">
          <cell r="I11" t="str">
            <v>64552449</v>
          </cell>
        </row>
        <row r="12">
          <cell r="I12" t="str">
            <v>47360123</v>
          </cell>
        </row>
        <row r="13">
          <cell r="I13" t="str">
            <v>13080293</v>
          </cell>
        </row>
        <row r="14">
          <cell r="I14" t="str">
            <v>65752063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5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7.6640625" bestFit="1" customWidth="1"/>
    <col min="2" max="2" width="10.1640625" bestFit="1" customWidth="1"/>
    <col min="3" max="3" width="39.33203125" bestFit="1" customWidth="1"/>
    <col min="4" max="4" width="10.33203125" style="8" bestFit="1" customWidth="1"/>
    <col min="5" max="5" width="10.1640625" style="8" bestFit="1" customWidth="1"/>
    <col min="6" max="6" width="41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1" t="s">
        <v>5</v>
      </c>
      <c r="G1" s="11" t="s">
        <v>396</v>
      </c>
    </row>
    <row r="2" spans="1:7" x14ac:dyDescent="0.2">
      <c r="A2" s="2">
        <v>45839</v>
      </c>
      <c r="B2" t="s">
        <v>6</v>
      </c>
      <c r="C2" t="s">
        <v>7</v>
      </c>
      <c r="D2" s="8">
        <v>91.92</v>
      </c>
      <c r="E2" s="8">
        <v>0</v>
      </c>
      <c r="F2" t="s">
        <v>7</v>
      </c>
      <c r="G2">
        <f>+COUNTIF([1]movimientos!$I:$I,B2)</f>
        <v>0</v>
      </c>
    </row>
    <row r="3" spans="1:7" x14ac:dyDescent="0.2">
      <c r="A3" s="2">
        <v>45840</v>
      </c>
      <c r="B3" t="s">
        <v>26</v>
      </c>
      <c r="C3" t="s">
        <v>27</v>
      </c>
      <c r="D3" s="8">
        <v>6.98</v>
      </c>
      <c r="E3" s="8">
        <v>0</v>
      </c>
      <c r="F3" t="s">
        <v>27</v>
      </c>
      <c r="G3">
        <f>+COUNTIF([1]movimientos!$I:$I,B3)</f>
        <v>0</v>
      </c>
    </row>
    <row r="4" spans="1:7" x14ac:dyDescent="0.2">
      <c r="A4" s="2">
        <v>45841</v>
      </c>
      <c r="B4" t="s">
        <v>30</v>
      </c>
      <c r="C4" t="s">
        <v>31</v>
      </c>
      <c r="D4" s="8">
        <v>143.66999999999999</v>
      </c>
      <c r="E4" s="8">
        <v>0</v>
      </c>
      <c r="F4" t="s">
        <v>31</v>
      </c>
      <c r="G4">
        <f>+COUNTIF([1]movimientos!$I:$I,B4)</f>
        <v>0</v>
      </c>
    </row>
    <row r="5" spans="1:7" x14ac:dyDescent="0.2">
      <c r="A5" s="2">
        <v>45855</v>
      </c>
      <c r="B5" t="s">
        <v>188</v>
      </c>
      <c r="C5" t="s">
        <v>9</v>
      </c>
      <c r="D5" s="8">
        <v>0</v>
      </c>
      <c r="E5" s="8">
        <v>100</v>
      </c>
      <c r="F5" t="s">
        <v>189</v>
      </c>
      <c r="G5">
        <f>+COUNTIF([1]movimientos!$I:$I,B5)</f>
        <v>0</v>
      </c>
    </row>
    <row r="6" spans="1:7" x14ac:dyDescent="0.2">
      <c r="A6" s="2">
        <v>45867</v>
      </c>
      <c r="B6" t="s">
        <v>310</v>
      </c>
      <c r="C6" t="s">
        <v>9</v>
      </c>
      <c r="D6" s="8">
        <v>0</v>
      </c>
      <c r="E6" s="8">
        <v>120</v>
      </c>
      <c r="F6" t="s">
        <v>189</v>
      </c>
      <c r="G6">
        <f>+COUNTIF([1]movimientos!$I:$I,B6)</f>
        <v>0</v>
      </c>
    </row>
    <row r="7" spans="1:7" x14ac:dyDescent="0.2">
      <c r="A7" s="2">
        <v>45853</v>
      </c>
      <c r="B7" t="s">
        <v>167</v>
      </c>
      <c r="C7" t="s">
        <v>9</v>
      </c>
      <c r="D7" s="8">
        <v>0</v>
      </c>
      <c r="E7" s="8">
        <v>213.13</v>
      </c>
      <c r="F7" t="s">
        <v>168</v>
      </c>
      <c r="G7">
        <f>+COUNTIF([1]movimientos!$I:$I,B7)</f>
        <v>0</v>
      </c>
    </row>
    <row r="8" spans="1:7" x14ac:dyDescent="0.2">
      <c r="A8" s="2">
        <v>45845</v>
      </c>
      <c r="B8" t="s">
        <v>53</v>
      </c>
      <c r="C8" t="s">
        <v>9</v>
      </c>
      <c r="D8" s="8">
        <v>0</v>
      </c>
      <c r="E8" s="8">
        <v>27.92</v>
      </c>
      <c r="F8" t="s">
        <v>54</v>
      </c>
      <c r="G8">
        <f>+COUNTIF([1]movimientos!$I:$I,B8)</f>
        <v>0</v>
      </c>
    </row>
    <row r="9" spans="1:7" x14ac:dyDescent="0.2">
      <c r="A9" s="2">
        <v>45842</v>
      </c>
      <c r="B9" t="s">
        <v>45</v>
      </c>
      <c r="C9" t="s">
        <v>47</v>
      </c>
      <c r="D9" s="8">
        <v>0</v>
      </c>
      <c r="E9" s="8">
        <v>57.5</v>
      </c>
      <c r="F9" t="s">
        <v>48</v>
      </c>
      <c r="G9">
        <f>+COUNTIF([1]movimientos!$I:$I,B9)</f>
        <v>1</v>
      </c>
    </row>
    <row r="10" spans="1:7" x14ac:dyDescent="0.2">
      <c r="A10" s="2">
        <v>45869</v>
      </c>
      <c r="B10" t="s">
        <v>335</v>
      </c>
      <c r="C10" t="s">
        <v>9</v>
      </c>
      <c r="D10" s="8">
        <v>0</v>
      </c>
      <c r="E10" s="8">
        <v>189.75</v>
      </c>
      <c r="F10" t="s">
        <v>336</v>
      </c>
      <c r="G10">
        <f>+COUNTIF([1]movimientos!$I:$I,B10)</f>
        <v>0</v>
      </c>
    </row>
    <row r="11" spans="1:7" x14ac:dyDescent="0.2">
      <c r="A11" s="2">
        <v>45842</v>
      </c>
      <c r="B11" t="s">
        <v>45</v>
      </c>
      <c r="C11" t="s">
        <v>46</v>
      </c>
      <c r="D11" s="8">
        <v>0</v>
      </c>
      <c r="E11" s="8">
        <v>0.36</v>
      </c>
      <c r="F11" t="s">
        <v>16</v>
      </c>
      <c r="G11">
        <f>+COUNTIF([1]movimientos!$I:$I,B11)</f>
        <v>1</v>
      </c>
    </row>
    <row r="12" spans="1:7" x14ac:dyDescent="0.2">
      <c r="A12" s="2">
        <v>45841</v>
      </c>
      <c r="B12" t="s">
        <v>34</v>
      </c>
      <c r="C12" t="s">
        <v>35</v>
      </c>
      <c r="D12" s="8">
        <v>39.94</v>
      </c>
      <c r="E12" s="8">
        <v>0</v>
      </c>
      <c r="F12" t="s">
        <v>35</v>
      </c>
      <c r="G12">
        <f>+COUNTIF([1]movimientos!$I:$I,B12)</f>
        <v>0</v>
      </c>
    </row>
    <row r="13" spans="1:7" x14ac:dyDescent="0.2">
      <c r="A13" s="2">
        <v>45845</v>
      </c>
      <c r="B13" t="s">
        <v>70</v>
      </c>
      <c r="C13" t="s">
        <v>71</v>
      </c>
      <c r="D13" s="8">
        <v>17.489999999999998</v>
      </c>
      <c r="E13" s="8">
        <v>0</v>
      </c>
      <c r="F13" t="s">
        <v>71</v>
      </c>
      <c r="G13">
        <f>+COUNTIF([1]movimientos!$I:$I,B13)</f>
        <v>0</v>
      </c>
    </row>
    <row r="14" spans="1:7" x14ac:dyDescent="0.2">
      <c r="A14" s="2">
        <v>45841</v>
      </c>
      <c r="B14" t="s">
        <v>28</v>
      </c>
      <c r="C14" t="s">
        <v>9</v>
      </c>
      <c r="D14" s="8">
        <v>0</v>
      </c>
      <c r="E14" s="8">
        <v>125.17</v>
      </c>
      <c r="F14" t="s">
        <v>29</v>
      </c>
      <c r="G14">
        <f>+COUNTIF([1]movimientos!$I:$I,B14)</f>
        <v>0</v>
      </c>
    </row>
    <row r="15" spans="1:7" x14ac:dyDescent="0.2">
      <c r="A15" s="2">
        <v>45847</v>
      </c>
      <c r="B15" t="s">
        <v>98</v>
      </c>
      <c r="C15" t="s">
        <v>99</v>
      </c>
      <c r="D15" s="8">
        <v>15.76</v>
      </c>
      <c r="E15" s="8">
        <v>0</v>
      </c>
      <c r="F15" t="s">
        <v>99</v>
      </c>
      <c r="G15">
        <f>+COUNTIF([1]movimientos!$I:$I,B15)</f>
        <v>0</v>
      </c>
    </row>
    <row r="16" spans="1:7" x14ac:dyDescent="0.2">
      <c r="A16" s="2">
        <v>45868</v>
      </c>
      <c r="B16" t="s">
        <v>314</v>
      </c>
      <c r="C16" t="s">
        <v>9</v>
      </c>
      <c r="D16" s="8">
        <v>0</v>
      </c>
      <c r="E16" s="8">
        <v>100</v>
      </c>
      <c r="F16" t="s">
        <v>29</v>
      </c>
      <c r="G16">
        <f>+COUNTIF([1]movimientos!$I:$I,B16)</f>
        <v>0</v>
      </c>
    </row>
    <row r="17" spans="1:7" x14ac:dyDescent="0.2">
      <c r="A17" s="2">
        <v>45849</v>
      </c>
      <c r="B17" t="s">
        <v>118</v>
      </c>
      <c r="C17" t="s">
        <v>119</v>
      </c>
      <c r="D17" s="8">
        <v>93.59</v>
      </c>
      <c r="E17" s="8">
        <v>0</v>
      </c>
      <c r="F17" t="s">
        <v>119</v>
      </c>
      <c r="G17">
        <f>+COUNTIF([1]movimientos!$I:$I,B17)</f>
        <v>0</v>
      </c>
    </row>
    <row r="18" spans="1:7" x14ac:dyDescent="0.2">
      <c r="A18" s="2">
        <v>45853</v>
      </c>
      <c r="B18" t="s">
        <v>177</v>
      </c>
      <c r="C18" t="s">
        <v>178</v>
      </c>
      <c r="D18" s="8">
        <v>9.7200000000000006</v>
      </c>
      <c r="E18" s="8">
        <v>0</v>
      </c>
      <c r="F18" t="s">
        <v>178</v>
      </c>
      <c r="G18">
        <f>+COUNTIF([1]movimientos!$I:$I,B18)</f>
        <v>0</v>
      </c>
    </row>
    <row r="19" spans="1:7" x14ac:dyDescent="0.2">
      <c r="A19" s="2">
        <v>45848</v>
      </c>
      <c r="B19" t="s">
        <v>104</v>
      </c>
      <c r="C19" t="s">
        <v>9</v>
      </c>
      <c r="D19" s="8">
        <v>0</v>
      </c>
      <c r="E19" s="8">
        <v>17.7</v>
      </c>
      <c r="F19" t="s">
        <v>105</v>
      </c>
      <c r="G19">
        <f>+COUNTIF([1]movimientos!$I:$I,B19)</f>
        <v>0</v>
      </c>
    </row>
    <row r="20" spans="1:7" x14ac:dyDescent="0.2">
      <c r="A20" s="2">
        <v>45860</v>
      </c>
      <c r="B20" t="s">
        <v>214</v>
      </c>
      <c r="C20" t="s">
        <v>9</v>
      </c>
      <c r="D20" s="8">
        <v>0</v>
      </c>
      <c r="E20" s="8">
        <v>15.29</v>
      </c>
      <c r="F20" t="s">
        <v>105</v>
      </c>
      <c r="G20">
        <f>+COUNTIF([1]movimientos!$I:$I,B20)</f>
        <v>0</v>
      </c>
    </row>
    <row r="21" spans="1:7" x14ac:dyDescent="0.2">
      <c r="A21" s="2">
        <v>45863</v>
      </c>
      <c r="B21" t="s">
        <v>250</v>
      </c>
      <c r="C21" t="s">
        <v>9</v>
      </c>
      <c r="D21" s="8">
        <v>0</v>
      </c>
      <c r="E21" s="8">
        <v>242.42</v>
      </c>
      <c r="F21" t="s">
        <v>251</v>
      </c>
      <c r="G21">
        <f>+COUNTIF([1]movimientos!$I:$I,B21)</f>
        <v>0</v>
      </c>
    </row>
    <row r="22" spans="1:7" x14ac:dyDescent="0.2">
      <c r="A22" s="2">
        <v>45840</v>
      </c>
      <c r="B22" t="s">
        <v>20</v>
      </c>
      <c r="C22" t="s">
        <v>9</v>
      </c>
      <c r="D22" s="8">
        <v>0</v>
      </c>
      <c r="E22" s="8">
        <v>150</v>
      </c>
      <c r="F22" t="s">
        <v>21</v>
      </c>
      <c r="G22">
        <f>+COUNTIF([1]movimientos!$I:$I,B22)</f>
        <v>0</v>
      </c>
    </row>
    <row r="23" spans="1:7" x14ac:dyDescent="0.2">
      <c r="A23" s="2">
        <v>45863</v>
      </c>
      <c r="B23" t="s">
        <v>253</v>
      </c>
      <c r="C23" t="s">
        <v>9</v>
      </c>
      <c r="D23" s="8">
        <v>0</v>
      </c>
      <c r="E23" s="8">
        <v>100</v>
      </c>
      <c r="F23" t="s">
        <v>21</v>
      </c>
      <c r="G23">
        <f>+COUNTIF([1]movimientos!$I:$I,B23)</f>
        <v>0</v>
      </c>
    </row>
    <row r="24" spans="1:7" x14ac:dyDescent="0.2">
      <c r="A24" s="2">
        <v>45863</v>
      </c>
      <c r="B24" t="s">
        <v>254</v>
      </c>
      <c r="C24" t="s">
        <v>9</v>
      </c>
      <c r="D24" s="8">
        <v>0</v>
      </c>
      <c r="E24" s="8">
        <v>86.25</v>
      </c>
      <c r="F24" t="s">
        <v>255</v>
      </c>
      <c r="G24">
        <f>+COUNTIF([1]movimientos!$I:$I,B24)</f>
        <v>0</v>
      </c>
    </row>
    <row r="25" spans="1:7" x14ac:dyDescent="0.2">
      <c r="A25" s="2">
        <v>45842</v>
      </c>
      <c r="B25" t="s">
        <v>38</v>
      </c>
      <c r="C25" t="s">
        <v>39</v>
      </c>
      <c r="D25" s="8">
        <v>0</v>
      </c>
      <c r="E25" s="8">
        <v>943.92</v>
      </c>
      <c r="F25" t="s">
        <v>40</v>
      </c>
      <c r="G25">
        <f>+COUNTIF([1]movimientos!$I:$I,B25)</f>
        <v>0</v>
      </c>
    </row>
    <row r="26" spans="1:7" x14ac:dyDescent="0.2">
      <c r="A26" s="2">
        <v>45852</v>
      </c>
      <c r="B26" t="s">
        <v>136</v>
      </c>
      <c r="C26" t="s">
        <v>137</v>
      </c>
      <c r="D26" s="8">
        <v>0</v>
      </c>
      <c r="E26" s="8">
        <v>146.77000000000001</v>
      </c>
      <c r="F26" t="s">
        <v>40</v>
      </c>
      <c r="G26">
        <f>+COUNTIF([1]movimientos!$I:$I,B26)</f>
        <v>0</v>
      </c>
    </row>
    <row r="27" spans="1:7" x14ac:dyDescent="0.2">
      <c r="A27" s="2">
        <v>45866</v>
      </c>
      <c r="B27" t="s">
        <v>262</v>
      </c>
      <c r="C27" t="s">
        <v>263</v>
      </c>
      <c r="D27" s="8">
        <v>0</v>
      </c>
      <c r="E27" s="8">
        <v>368.61</v>
      </c>
      <c r="F27" t="s">
        <v>40</v>
      </c>
      <c r="G27">
        <f>+COUNTIF([1]movimientos!$I:$I,B27)</f>
        <v>0</v>
      </c>
    </row>
    <row r="28" spans="1:7" x14ac:dyDescent="0.2">
      <c r="A28" s="2">
        <v>45854</v>
      </c>
      <c r="B28" t="s">
        <v>186</v>
      </c>
      <c r="C28" t="s">
        <v>187</v>
      </c>
      <c r="D28" s="8">
        <v>23.07</v>
      </c>
      <c r="E28" s="8">
        <v>0</v>
      </c>
      <c r="F28" t="s">
        <v>187</v>
      </c>
      <c r="G28">
        <f>+COUNTIF([1]movimientos!$I:$I,B28)</f>
        <v>0</v>
      </c>
    </row>
    <row r="29" spans="1:7" x14ac:dyDescent="0.2">
      <c r="A29" s="2">
        <v>45866</v>
      </c>
      <c r="B29" t="s">
        <v>267</v>
      </c>
      <c r="C29" t="s">
        <v>268</v>
      </c>
      <c r="D29" s="8">
        <v>0</v>
      </c>
      <c r="E29" s="8">
        <v>10.78</v>
      </c>
      <c r="F29" t="s">
        <v>40</v>
      </c>
      <c r="G29">
        <f>+COUNTIF([1]movimientos!$I:$I,B29)</f>
        <v>0</v>
      </c>
    </row>
    <row r="30" spans="1:7" x14ac:dyDescent="0.2">
      <c r="A30" s="2">
        <v>45854</v>
      </c>
      <c r="B30" t="s">
        <v>184</v>
      </c>
      <c r="C30" t="s">
        <v>9</v>
      </c>
      <c r="D30" s="8">
        <v>0</v>
      </c>
      <c r="E30" s="8">
        <v>120</v>
      </c>
      <c r="F30" t="s">
        <v>185</v>
      </c>
      <c r="G30">
        <f>+COUNTIF([1]movimientos!$I:$I,B30)</f>
        <v>0</v>
      </c>
    </row>
    <row r="31" spans="1:7" x14ac:dyDescent="0.2">
      <c r="A31" s="2">
        <v>45867</v>
      </c>
      <c r="B31" t="s">
        <v>307</v>
      </c>
      <c r="C31" t="s">
        <v>9</v>
      </c>
      <c r="D31" s="8">
        <v>0</v>
      </c>
      <c r="E31" s="8">
        <v>150</v>
      </c>
      <c r="F31" t="s">
        <v>308</v>
      </c>
      <c r="G31">
        <f>+COUNTIF([1]movimientos!$I:$I,B31)</f>
        <v>0</v>
      </c>
    </row>
    <row r="32" spans="1:7" x14ac:dyDescent="0.2">
      <c r="A32" s="2">
        <v>45867</v>
      </c>
      <c r="B32" t="s">
        <v>305</v>
      </c>
      <c r="C32" t="s">
        <v>9</v>
      </c>
      <c r="D32" s="8">
        <v>0</v>
      </c>
      <c r="E32" s="8">
        <v>40.57</v>
      </c>
      <c r="F32" t="s">
        <v>306</v>
      </c>
      <c r="G32">
        <f>+COUNTIF([1]movimientos!$I:$I,B32)</f>
        <v>0</v>
      </c>
    </row>
    <row r="33" spans="1:7" x14ac:dyDescent="0.2">
      <c r="A33" s="2">
        <v>45863</v>
      </c>
      <c r="B33" t="s">
        <v>256</v>
      </c>
      <c r="C33" t="s">
        <v>9</v>
      </c>
      <c r="D33" s="8">
        <v>0</v>
      </c>
      <c r="E33" s="8">
        <v>100</v>
      </c>
      <c r="F33" t="s">
        <v>257</v>
      </c>
      <c r="G33">
        <f>+COUNTIF([1]movimientos!$I:$I,B33)</f>
        <v>0</v>
      </c>
    </row>
    <row r="34" spans="1:7" x14ac:dyDescent="0.2">
      <c r="A34" s="2">
        <v>45867</v>
      </c>
      <c r="B34" t="s">
        <v>311</v>
      </c>
      <c r="C34" t="s">
        <v>9</v>
      </c>
      <c r="D34" s="8">
        <v>0</v>
      </c>
      <c r="E34" s="8">
        <v>31.74</v>
      </c>
      <c r="F34" t="s">
        <v>312</v>
      </c>
      <c r="G34">
        <f>+COUNTIF([1]movimientos!$I:$I,B34)</f>
        <v>0</v>
      </c>
    </row>
    <row r="35" spans="1:7" x14ac:dyDescent="0.2">
      <c r="A35" s="2">
        <v>45842</v>
      </c>
      <c r="B35" t="s">
        <v>45</v>
      </c>
      <c r="C35" t="s">
        <v>17</v>
      </c>
      <c r="D35" s="8">
        <v>0</v>
      </c>
      <c r="E35" s="8">
        <v>0.05</v>
      </c>
      <c r="F35" t="s">
        <v>16</v>
      </c>
      <c r="G35">
        <f>+COUNTIF([1]movimientos!$I:$I,B35)</f>
        <v>1</v>
      </c>
    </row>
    <row r="36" spans="1:7" x14ac:dyDescent="0.2">
      <c r="A36" s="2">
        <v>45852</v>
      </c>
      <c r="B36" t="s">
        <v>135</v>
      </c>
      <c r="C36" t="s">
        <v>47</v>
      </c>
      <c r="D36" s="8">
        <v>0</v>
      </c>
      <c r="E36" s="8">
        <v>150</v>
      </c>
      <c r="F36" t="s">
        <v>50</v>
      </c>
      <c r="G36">
        <f>+COUNTIF([1]movimientos!$I:$I,B36)</f>
        <v>1</v>
      </c>
    </row>
    <row r="37" spans="1:7" x14ac:dyDescent="0.2">
      <c r="A37" s="2">
        <v>45852</v>
      </c>
      <c r="B37" t="s">
        <v>135</v>
      </c>
      <c r="C37" t="s">
        <v>46</v>
      </c>
      <c r="D37" s="8">
        <v>0</v>
      </c>
      <c r="E37" s="8">
        <v>0.36</v>
      </c>
      <c r="F37" t="s">
        <v>16</v>
      </c>
      <c r="G37">
        <f>+COUNTIF([1]movimientos!$I:$I,B37)</f>
        <v>1</v>
      </c>
    </row>
    <row r="38" spans="1:7" x14ac:dyDescent="0.2">
      <c r="A38" s="2">
        <v>45852</v>
      </c>
      <c r="B38" t="s">
        <v>135</v>
      </c>
      <c r="C38" t="s">
        <v>17</v>
      </c>
      <c r="D38" s="8">
        <v>0</v>
      </c>
      <c r="E38" s="8">
        <v>0.05</v>
      </c>
      <c r="F38" t="s">
        <v>16</v>
      </c>
      <c r="G38">
        <f>+COUNTIF([1]movimientos!$I:$I,B38)</f>
        <v>1</v>
      </c>
    </row>
    <row r="39" spans="1:7" x14ac:dyDescent="0.2">
      <c r="A39" s="3">
        <v>45848</v>
      </c>
      <c r="B39" s="4" t="s">
        <v>109</v>
      </c>
      <c r="C39" s="4" t="s">
        <v>47</v>
      </c>
      <c r="D39" s="9">
        <v>0</v>
      </c>
      <c r="E39" s="9">
        <v>150</v>
      </c>
      <c r="F39" s="4" t="s">
        <v>110</v>
      </c>
      <c r="G39">
        <f>+COUNTIF([1]movimientos!$I:$I,B39)</f>
        <v>1</v>
      </c>
    </row>
    <row r="40" spans="1:7" x14ac:dyDescent="0.2">
      <c r="A40" s="2">
        <v>45848</v>
      </c>
      <c r="B40" t="s">
        <v>109</v>
      </c>
      <c r="C40" t="s">
        <v>46</v>
      </c>
      <c r="D40" s="8">
        <v>0</v>
      </c>
      <c r="E40" s="8">
        <v>0.36</v>
      </c>
      <c r="F40" t="s">
        <v>16</v>
      </c>
      <c r="G40">
        <f>+COUNTIF([1]movimientos!$I:$I,B40)</f>
        <v>1</v>
      </c>
    </row>
    <row r="41" spans="1:7" x14ac:dyDescent="0.2">
      <c r="A41" s="2">
        <v>45848</v>
      </c>
      <c r="B41" t="s">
        <v>109</v>
      </c>
      <c r="C41" t="s">
        <v>17</v>
      </c>
      <c r="D41" s="8">
        <v>0</v>
      </c>
      <c r="E41" s="8">
        <v>0.05</v>
      </c>
      <c r="F41" t="s">
        <v>16</v>
      </c>
      <c r="G41">
        <f>+COUNTIF([1]movimientos!$I:$I,B41)</f>
        <v>1</v>
      </c>
    </row>
    <row r="42" spans="1:7" x14ac:dyDescent="0.2">
      <c r="A42" s="2">
        <v>45863</v>
      </c>
      <c r="B42" t="s">
        <v>252</v>
      </c>
      <c r="C42" t="s">
        <v>9</v>
      </c>
      <c r="D42" s="8">
        <v>0</v>
      </c>
      <c r="E42" s="8">
        <v>200</v>
      </c>
      <c r="F42" t="s">
        <v>108</v>
      </c>
      <c r="G42">
        <f>+COUNTIF([1]movimientos!$I:$I,B42)</f>
        <v>0</v>
      </c>
    </row>
    <row r="43" spans="1:7" x14ac:dyDescent="0.2">
      <c r="A43" s="2">
        <v>45853</v>
      </c>
      <c r="B43" t="s">
        <v>159</v>
      </c>
      <c r="C43" t="s">
        <v>160</v>
      </c>
      <c r="D43" s="8">
        <v>0</v>
      </c>
      <c r="E43" s="8">
        <v>500</v>
      </c>
      <c r="F43" t="s">
        <v>161</v>
      </c>
      <c r="G43">
        <f>+COUNTIF([1]movimientos!$I:$I,B43)</f>
        <v>0</v>
      </c>
    </row>
    <row r="44" spans="1:7" x14ac:dyDescent="0.2">
      <c r="A44" s="2">
        <v>45841</v>
      </c>
      <c r="B44" t="s">
        <v>32</v>
      </c>
      <c r="C44" t="s">
        <v>9</v>
      </c>
      <c r="D44" s="8">
        <v>0</v>
      </c>
      <c r="E44" s="8">
        <v>16</v>
      </c>
      <c r="F44" t="s">
        <v>33</v>
      </c>
      <c r="G44">
        <f>+COUNTIF([1]movimientos!$I:$I,B44)</f>
        <v>0</v>
      </c>
    </row>
    <row r="45" spans="1:7" x14ac:dyDescent="0.2">
      <c r="A45" s="2">
        <v>45856</v>
      </c>
      <c r="B45" t="s">
        <v>194</v>
      </c>
      <c r="C45" t="s">
        <v>195</v>
      </c>
      <c r="D45" s="8">
        <v>38.869999999999997</v>
      </c>
      <c r="E45" s="8">
        <v>0</v>
      </c>
      <c r="F45" t="s">
        <v>195</v>
      </c>
      <c r="G45">
        <f>+COUNTIF([1]movimientos!$I:$I,B45)</f>
        <v>0</v>
      </c>
    </row>
    <row r="46" spans="1:7" x14ac:dyDescent="0.2">
      <c r="A46" s="2">
        <v>45856</v>
      </c>
      <c r="B46" t="s">
        <v>198</v>
      </c>
      <c r="C46" t="s">
        <v>199</v>
      </c>
      <c r="D46" s="8">
        <v>3.99</v>
      </c>
      <c r="E46" s="8">
        <v>0</v>
      </c>
      <c r="F46" t="s">
        <v>199</v>
      </c>
      <c r="G46">
        <f>+COUNTIF([1]movimientos!$I:$I,B46)</f>
        <v>0</v>
      </c>
    </row>
    <row r="47" spans="1:7" x14ac:dyDescent="0.2">
      <c r="A47" s="2">
        <v>45861</v>
      </c>
      <c r="B47" t="s">
        <v>233</v>
      </c>
      <c r="C47" t="s">
        <v>234</v>
      </c>
      <c r="D47" s="8">
        <v>155.5</v>
      </c>
      <c r="E47" s="8">
        <v>0</v>
      </c>
      <c r="F47" t="s">
        <v>234</v>
      </c>
      <c r="G47">
        <f>+COUNTIF([1]movimientos!$I:$I,B47)</f>
        <v>0</v>
      </c>
    </row>
    <row r="48" spans="1:7" x14ac:dyDescent="0.2">
      <c r="A48" s="2">
        <v>45862</v>
      </c>
      <c r="B48" t="s">
        <v>243</v>
      </c>
      <c r="C48" t="s">
        <v>244</v>
      </c>
      <c r="D48" s="8">
        <v>43.9</v>
      </c>
      <c r="E48" s="8">
        <v>0</v>
      </c>
      <c r="F48" t="s">
        <v>244</v>
      </c>
      <c r="G48">
        <f>+COUNTIF([1]movimientos!$I:$I,B48)</f>
        <v>0</v>
      </c>
    </row>
    <row r="49" spans="1:7" x14ac:dyDescent="0.2">
      <c r="A49" s="2">
        <v>45863</v>
      </c>
      <c r="B49" t="s">
        <v>245</v>
      </c>
      <c r="C49" t="s">
        <v>246</v>
      </c>
      <c r="D49" s="8">
        <v>37.81</v>
      </c>
      <c r="E49" s="8">
        <v>0</v>
      </c>
      <c r="F49" t="s">
        <v>246</v>
      </c>
      <c r="G49">
        <f>+COUNTIF([1]movimientos!$I:$I,B49)</f>
        <v>0</v>
      </c>
    </row>
    <row r="50" spans="1:7" x14ac:dyDescent="0.2">
      <c r="A50" s="2">
        <v>45868</v>
      </c>
      <c r="B50" t="s">
        <v>328</v>
      </c>
      <c r="C50" t="s">
        <v>329</v>
      </c>
      <c r="D50" s="8">
        <v>1046.01</v>
      </c>
      <c r="E50" s="8">
        <v>0</v>
      </c>
      <c r="F50" t="s">
        <v>329</v>
      </c>
      <c r="G50">
        <f>+COUNTIF([1]movimientos!$I:$I,B50)</f>
        <v>0</v>
      </c>
    </row>
    <row r="51" spans="1:7" x14ac:dyDescent="0.2">
      <c r="A51" s="2">
        <v>45866</v>
      </c>
      <c r="B51" t="s">
        <v>293</v>
      </c>
      <c r="C51" t="s">
        <v>294</v>
      </c>
      <c r="D51" s="8">
        <v>17.489999999999998</v>
      </c>
      <c r="E51" s="8">
        <v>0</v>
      </c>
      <c r="F51" t="s">
        <v>294</v>
      </c>
      <c r="G51">
        <f>+COUNTIF([1]movimientos!$I:$I,B51)</f>
        <v>0</v>
      </c>
    </row>
    <row r="52" spans="1:7" x14ac:dyDescent="0.2">
      <c r="A52" s="2">
        <v>45867</v>
      </c>
      <c r="B52" t="s">
        <v>295</v>
      </c>
      <c r="C52" t="s">
        <v>296</v>
      </c>
      <c r="D52" s="8">
        <v>97.57</v>
      </c>
      <c r="E52" s="8">
        <v>0</v>
      </c>
      <c r="F52" t="s">
        <v>296</v>
      </c>
      <c r="G52">
        <f>+COUNTIF([1]movimientos!$I:$I,B52)</f>
        <v>0</v>
      </c>
    </row>
    <row r="53" spans="1:7" x14ac:dyDescent="0.2">
      <c r="A53" s="2">
        <v>45868</v>
      </c>
      <c r="B53" t="s">
        <v>330</v>
      </c>
      <c r="C53" t="s">
        <v>331</v>
      </c>
      <c r="D53" s="8">
        <v>534.53</v>
      </c>
      <c r="E53" s="8">
        <v>0</v>
      </c>
      <c r="F53" t="s">
        <v>331</v>
      </c>
      <c r="G53">
        <f>+COUNTIF([1]movimientos!$I:$I,B53)</f>
        <v>0</v>
      </c>
    </row>
    <row r="54" spans="1:7" x14ac:dyDescent="0.2">
      <c r="A54" s="2">
        <v>45859</v>
      </c>
      <c r="B54" t="s">
        <v>210</v>
      </c>
      <c r="C54" t="s">
        <v>211</v>
      </c>
      <c r="D54" s="8">
        <v>36.700000000000003</v>
      </c>
      <c r="E54" s="8">
        <v>0</v>
      </c>
      <c r="F54" t="s">
        <v>211</v>
      </c>
      <c r="G54">
        <f>+COUNTIF([1]movimientos!$I:$I,B54)</f>
        <v>0</v>
      </c>
    </row>
    <row r="55" spans="1:7" x14ac:dyDescent="0.2">
      <c r="A55" s="2">
        <v>45852</v>
      </c>
      <c r="B55" t="s">
        <v>154</v>
      </c>
      <c r="C55" t="s">
        <v>155</v>
      </c>
      <c r="D55" s="8">
        <v>16.309999999999999</v>
      </c>
      <c r="E55" s="8">
        <v>0</v>
      </c>
      <c r="F55" t="s">
        <v>155</v>
      </c>
      <c r="G55">
        <f>+COUNTIF([1]movimientos!$I:$I,B55)</f>
        <v>0</v>
      </c>
    </row>
    <row r="56" spans="1:7" x14ac:dyDescent="0.2">
      <c r="A56" s="2">
        <v>45852</v>
      </c>
      <c r="B56" t="s">
        <v>152</v>
      </c>
      <c r="C56" t="s">
        <v>153</v>
      </c>
      <c r="D56" s="8">
        <v>34.25</v>
      </c>
      <c r="E56" s="8">
        <v>0</v>
      </c>
      <c r="F56" t="s">
        <v>153</v>
      </c>
      <c r="G56">
        <f>+COUNTIF([1]movimientos!$I:$I,B56)</f>
        <v>0</v>
      </c>
    </row>
    <row r="57" spans="1:7" x14ac:dyDescent="0.2">
      <c r="A57" s="2">
        <v>45849</v>
      </c>
      <c r="B57" t="s">
        <v>121</v>
      </c>
      <c r="C57" t="s">
        <v>122</v>
      </c>
      <c r="D57" s="8">
        <v>19.440000000000001</v>
      </c>
      <c r="E57" s="8">
        <v>0</v>
      </c>
      <c r="F57" t="s">
        <v>122</v>
      </c>
      <c r="G57">
        <f>+COUNTIF([1]movimientos!$I:$I,B57)</f>
        <v>0</v>
      </c>
    </row>
    <row r="58" spans="1:7" x14ac:dyDescent="0.2">
      <c r="A58" s="2">
        <v>45852</v>
      </c>
      <c r="B58" t="s">
        <v>146</v>
      </c>
      <c r="C58" t="s">
        <v>147</v>
      </c>
      <c r="D58" s="8">
        <v>11.98</v>
      </c>
      <c r="E58" s="8">
        <v>0</v>
      </c>
      <c r="F58" t="s">
        <v>147</v>
      </c>
      <c r="G58">
        <f>+COUNTIF([1]movimientos!$I:$I,B58)</f>
        <v>0</v>
      </c>
    </row>
    <row r="59" spans="1:7" x14ac:dyDescent="0.2">
      <c r="A59" s="2">
        <v>45859</v>
      </c>
      <c r="B59" t="s">
        <v>206</v>
      </c>
      <c r="C59" t="s">
        <v>207</v>
      </c>
      <c r="D59" s="8">
        <v>75.790000000000006</v>
      </c>
      <c r="E59" s="8">
        <v>0</v>
      </c>
      <c r="F59" t="s">
        <v>207</v>
      </c>
      <c r="G59">
        <f>+COUNTIF([1]movimientos!$I:$I,B59)</f>
        <v>0</v>
      </c>
    </row>
    <row r="60" spans="1:7" x14ac:dyDescent="0.2">
      <c r="A60" s="2">
        <v>45867</v>
      </c>
      <c r="B60" t="s">
        <v>302</v>
      </c>
      <c r="C60" t="s">
        <v>303</v>
      </c>
      <c r="D60" s="8">
        <v>1171.98</v>
      </c>
      <c r="E60" s="8">
        <v>0</v>
      </c>
      <c r="F60" t="s">
        <v>303</v>
      </c>
      <c r="G60">
        <f>+COUNTIF([1]movimientos!$I:$I,B60)</f>
        <v>0</v>
      </c>
    </row>
    <row r="61" spans="1:7" x14ac:dyDescent="0.2">
      <c r="A61" s="2">
        <v>45867</v>
      </c>
      <c r="B61" t="s">
        <v>304</v>
      </c>
      <c r="C61" t="s">
        <v>47</v>
      </c>
      <c r="D61" s="8">
        <v>0</v>
      </c>
      <c r="E61" s="8">
        <v>300</v>
      </c>
      <c r="F61" t="s">
        <v>279</v>
      </c>
      <c r="G61">
        <f>+COUNTIF([1]movimientos!$I:$I,B61)</f>
        <v>1</v>
      </c>
    </row>
    <row r="62" spans="1:7" x14ac:dyDescent="0.2">
      <c r="A62" s="2">
        <v>45869</v>
      </c>
      <c r="B62" t="s">
        <v>341</v>
      </c>
      <c r="C62" t="s">
        <v>342</v>
      </c>
      <c r="D62" s="8">
        <v>177.48</v>
      </c>
      <c r="E62" s="8">
        <v>0</v>
      </c>
      <c r="F62" t="s">
        <v>342</v>
      </c>
      <c r="G62">
        <f>+COUNTIF([1]movimientos!$I:$I,B62)</f>
        <v>0</v>
      </c>
    </row>
    <row r="63" spans="1:7" x14ac:dyDescent="0.2">
      <c r="A63" s="2">
        <v>45867</v>
      </c>
      <c r="B63" t="s">
        <v>304</v>
      </c>
      <c r="C63" t="s">
        <v>46</v>
      </c>
      <c r="D63" s="8">
        <v>0</v>
      </c>
      <c r="E63" s="8">
        <v>0.36</v>
      </c>
      <c r="F63" t="s">
        <v>16</v>
      </c>
      <c r="G63">
        <f>+COUNTIF([1]movimientos!$I:$I,B63)</f>
        <v>1</v>
      </c>
    </row>
    <row r="64" spans="1:7" x14ac:dyDescent="0.2">
      <c r="A64" s="2">
        <v>45840</v>
      </c>
      <c r="B64" t="s">
        <v>14</v>
      </c>
      <c r="C64" t="s">
        <v>17</v>
      </c>
      <c r="D64" s="8">
        <v>0</v>
      </c>
      <c r="E64" s="8">
        <v>0.05</v>
      </c>
      <c r="F64" t="s">
        <v>16</v>
      </c>
      <c r="G64">
        <f>+COUNTIF([1]movimientos!$I:$I,B64)</f>
        <v>0</v>
      </c>
    </row>
    <row r="65" spans="1:7" x14ac:dyDescent="0.2">
      <c r="A65" s="2">
        <v>45868</v>
      </c>
      <c r="B65" t="s">
        <v>322</v>
      </c>
      <c r="C65" t="s">
        <v>9</v>
      </c>
      <c r="D65" s="8">
        <v>20.3</v>
      </c>
      <c r="E65" s="8">
        <v>0</v>
      </c>
      <c r="F65" t="s">
        <v>323</v>
      </c>
      <c r="G65">
        <f>+COUNTIF([1]movimientos!$I:$I,B65)</f>
        <v>0</v>
      </c>
    </row>
    <row r="66" spans="1:7" x14ac:dyDescent="0.2">
      <c r="A66" s="2">
        <v>45860</v>
      </c>
      <c r="B66" t="s">
        <v>226</v>
      </c>
      <c r="C66" t="s">
        <v>9</v>
      </c>
      <c r="D66" s="8">
        <v>331.2</v>
      </c>
      <c r="E66" s="8">
        <v>0</v>
      </c>
      <c r="F66" t="s">
        <v>227</v>
      </c>
      <c r="G66">
        <f>+COUNTIF([1]movimientos!$I:$I,B66)</f>
        <v>0</v>
      </c>
    </row>
    <row r="67" spans="1:7" x14ac:dyDescent="0.2">
      <c r="A67" s="2">
        <v>45846</v>
      </c>
      <c r="B67" t="s">
        <v>80</v>
      </c>
      <c r="C67" t="s">
        <v>9</v>
      </c>
      <c r="D67" s="8">
        <v>2</v>
      </c>
      <c r="E67" s="8">
        <v>0</v>
      </c>
      <c r="F67" t="s">
        <v>81</v>
      </c>
      <c r="G67">
        <f>+COUNTIF([1]movimientos!$I:$I,B67)</f>
        <v>0</v>
      </c>
    </row>
    <row r="68" spans="1:7" x14ac:dyDescent="0.2">
      <c r="A68" s="2">
        <v>45846</v>
      </c>
      <c r="B68" t="s">
        <v>72</v>
      </c>
      <c r="C68" t="s">
        <v>9</v>
      </c>
      <c r="D68" s="8">
        <v>178</v>
      </c>
      <c r="E68" s="8">
        <v>0</v>
      </c>
      <c r="F68" t="s">
        <v>73</v>
      </c>
      <c r="G68">
        <f>+COUNTIF([1]movimientos!$I:$I,B68)</f>
        <v>0</v>
      </c>
    </row>
    <row r="69" spans="1:7" x14ac:dyDescent="0.2">
      <c r="A69" s="2">
        <v>45840</v>
      </c>
      <c r="B69" t="s">
        <v>19</v>
      </c>
      <c r="C69" t="s">
        <v>17</v>
      </c>
      <c r="D69" s="8">
        <v>0</v>
      </c>
      <c r="E69" s="8">
        <v>0.05</v>
      </c>
      <c r="F69" t="s">
        <v>16</v>
      </c>
      <c r="G69">
        <f>+COUNTIF([1]movimientos!$I:$I,B69)</f>
        <v>0</v>
      </c>
    </row>
    <row r="70" spans="1:7" x14ac:dyDescent="0.2">
      <c r="A70" s="2">
        <v>45867</v>
      </c>
      <c r="B70" t="s">
        <v>304</v>
      </c>
      <c r="C70" t="s">
        <v>17</v>
      </c>
      <c r="D70" s="8">
        <v>0</v>
      </c>
      <c r="E70" s="8">
        <v>0.05</v>
      </c>
      <c r="F70" t="s">
        <v>16</v>
      </c>
      <c r="G70">
        <f>+COUNTIF([1]movimientos!$I:$I,B70)</f>
        <v>1</v>
      </c>
    </row>
    <row r="71" spans="1:7" x14ac:dyDescent="0.2">
      <c r="A71" s="2">
        <v>45867</v>
      </c>
      <c r="B71" t="s">
        <v>297</v>
      </c>
      <c r="C71" t="s">
        <v>47</v>
      </c>
      <c r="D71" s="8">
        <v>0</v>
      </c>
      <c r="E71" s="8">
        <v>128.82</v>
      </c>
      <c r="F71" t="s">
        <v>54</v>
      </c>
      <c r="G71">
        <f>+COUNTIF([1]movimientos!$I:$I,B71)</f>
        <v>1</v>
      </c>
    </row>
    <row r="72" spans="1:7" x14ac:dyDescent="0.2">
      <c r="A72" s="2">
        <v>45862</v>
      </c>
      <c r="B72" t="s">
        <v>237</v>
      </c>
      <c r="C72" t="s">
        <v>9</v>
      </c>
      <c r="D72" s="8">
        <v>30</v>
      </c>
      <c r="E72" s="8">
        <v>0</v>
      </c>
      <c r="F72" t="s">
        <v>238</v>
      </c>
      <c r="G72">
        <f>+COUNTIF([1]movimientos!$I:$I,B72)</f>
        <v>0</v>
      </c>
    </row>
    <row r="73" spans="1:7" x14ac:dyDescent="0.2">
      <c r="A73" s="2">
        <v>45848</v>
      </c>
      <c r="B73" t="s">
        <v>102</v>
      </c>
      <c r="C73" t="s">
        <v>9</v>
      </c>
      <c r="D73" s="8">
        <v>35</v>
      </c>
      <c r="E73" s="8">
        <v>0</v>
      </c>
      <c r="F73" t="s">
        <v>103</v>
      </c>
      <c r="G73">
        <f>+COUNTIF([1]movimientos!$I:$I,B73)</f>
        <v>0</v>
      </c>
    </row>
    <row r="74" spans="1:7" x14ac:dyDescent="0.2">
      <c r="A74" s="2">
        <v>45866</v>
      </c>
      <c r="B74" t="s">
        <v>276</v>
      </c>
      <c r="C74" t="s">
        <v>9</v>
      </c>
      <c r="D74" s="8">
        <v>40.25</v>
      </c>
      <c r="E74" s="8">
        <v>0</v>
      </c>
      <c r="F74" t="s">
        <v>103</v>
      </c>
      <c r="G74">
        <f>+COUNTIF([1]movimientos!$I:$I,B74)</f>
        <v>0</v>
      </c>
    </row>
    <row r="75" spans="1:7" x14ac:dyDescent="0.2">
      <c r="A75" s="2">
        <v>45860</v>
      </c>
      <c r="B75" t="s">
        <v>224</v>
      </c>
      <c r="C75" t="s">
        <v>9</v>
      </c>
      <c r="D75" s="8">
        <v>13.8</v>
      </c>
      <c r="E75" s="8">
        <v>0</v>
      </c>
      <c r="F75" t="s">
        <v>225</v>
      </c>
      <c r="G75">
        <f>+COUNTIF([1]movimientos!$I:$I,B75)</f>
        <v>0</v>
      </c>
    </row>
    <row r="76" spans="1:7" x14ac:dyDescent="0.2">
      <c r="A76" s="2">
        <v>45867</v>
      </c>
      <c r="B76" t="s">
        <v>297</v>
      </c>
      <c r="C76" t="s">
        <v>46</v>
      </c>
      <c r="D76" s="8">
        <v>0</v>
      </c>
      <c r="E76" s="8">
        <v>0.36</v>
      </c>
      <c r="F76" t="s">
        <v>16</v>
      </c>
      <c r="G76">
        <f>+COUNTIF([1]movimientos!$I:$I,B76)</f>
        <v>1</v>
      </c>
    </row>
    <row r="77" spans="1:7" x14ac:dyDescent="0.2">
      <c r="A77" s="2">
        <v>45849</v>
      </c>
      <c r="B77" t="s">
        <v>117</v>
      </c>
      <c r="C77" t="s">
        <v>17</v>
      </c>
      <c r="D77" s="8">
        <v>0</v>
      </c>
      <c r="E77" s="8">
        <v>0.05</v>
      </c>
      <c r="F77" t="s">
        <v>16</v>
      </c>
      <c r="G77">
        <f>+COUNTIF([1]movimientos!$I:$I,B77)</f>
        <v>0</v>
      </c>
    </row>
    <row r="78" spans="1:7" x14ac:dyDescent="0.2">
      <c r="A78" s="2">
        <v>45867</v>
      </c>
      <c r="B78" t="s">
        <v>297</v>
      </c>
      <c r="C78" t="s">
        <v>17</v>
      </c>
      <c r="D78" s="8">
        <v>0</v>
      </c>
      <c r="E78" s="8">
        <v>0.05</v>
      </c>
      <c r="F78" t="s">
        <v>16</v>
      </c>
      <c r="G78">
        <f>+COUNTIF([1]movimientos!$I:$I,B78)</f>
        <v>1</v>
      </c>
    </row>
    <row r="79" spans="1:7" x14ac:dyDescent="0.2">
      <c r="A79" s="2">
        <v>45856</v>
      </c>
      <c r="B79" t="s">
        <v>196</v>
      </c>
      <c r="C79" t="s">
        <v>9</v>
      </c>
      <c r="D79" s="8">
        <v>10</v>
      </c>
      <c r="E79" s="8">
        <v>0</v>
      </c>
      <c r="F79" t="s">
        <v>197</v>
      </c>
      <c r="G79">
        <f>+COUNTIF([1]movimientos!$I:$I,B79)</f>
        <v>0</v>
      </c>
    </row>
    <row r="80" spans="1:7" x14ac:dyDescent="0.2">
      <c r="A80" s="2">
        <v>45848</v>
      </c>
      <c r="B80" t="s">
        <v>100</v>
      </c>
      <c r="C80" t="s">
        <v>9</v>
      </c>
      <c r="D80" s="8">
        <v>4.5999999999999996</v>
      </c>
      <c r="E80" s="8">
        <v>0</v>
      </c>
      <c r="F80" t="s">
        <v>101</v>
      </c>
      <c r="G80">
        <f>+COUNTIF([1]movimientos!$I:$I,B80)</f>
        <v>0</v>
      </c>
    </row>
    <row r="81" spans="1:7" x14ac:dyDescent="0.2">
      <c r="A81" s="2">
        <v>45863</v>
      </c>
      <c r="B81" t="s">
        <v>258</v>
      </c>
      <c r="C81" t="s">
        <v>9</v>
      </c>
      <c r="D81" s="8">
        <v>1.7</v>
      </c>
      <c r="E81" s="8">
        <v>0</v>
      </c>
      <c r="F81" t="s">
        <v>259</v>
      </c>
      <c r="G81">
        <f>+COUNTIF([1]movimientos!$I:$I,B81)</f>
        <v>0</v>
      </c>
    </row>
    <row r="82" spans="1:7" x14ac:dyDescent="0.2">
      <c r="A82" s="2">
        <v>45862</v>
      </c>
      <c r="B82" t="s">
        <v>235</v>
      </c>
      <c r="C82" t="s">
        <v>9</v>
      </c>
      <c r="D82" s="8">
        <v>9.1999999999999993</v>
      </c>
      <c r="E82" s="8">
        <v>0</v>
      </c>
      <c r="F82" t="s">
        <v>236</v>
      </c>
      <c r="G82">
        <f>+COUNTIF([1]movimientos!$I:$I,B82)</f>
        <v>0</v>
      </c>
    </row>
    <row r="83" spans="1:7" x14ac:dyDescent="0.2">
      <c r="A83" s="2">
        <v>45860</v>
      </c>
      <c r="B83" t="s">
        <v>220</v>
      </c>
      <c r="C83" t="s">
        <v>9</v>
      </c>
      <c r="D83" s="8">
        <v>13.8</v>
      </c>
      <c r="E83" s="8">
        <v>0</v>
      </c>
      <c r="F83" t="s">
        <v>221</v>
      </c>
      <c r="G83">
        <f>+COUNTIF([1]movimientos!$I:$I,B83)</f>
        <v>0</v>
      </c>
    </row>
    <row r="84" spans="1:7" x14ac:dyDescent="0.2">
      <c r="A84" s="2">
        <v>45852</v>
      </c>
      <c r="B84" t="s">
        <v>141</v>
      </c>
      <c r="C84" t="s">
        <v>17</v>
      </c>
      <c r="D84" s="8">
        <v>0</v>
      </c>
      <c r="E84" s="8">
        <v>0.05</v>
      </c>
      <c r="F84" t="s">
        <v>16</v>
      </c>
      <c r="G84">
        <f>+COUNTIF([1]movimientos!$I:$I,B84)</f>
        <v>0</v>
      </c>
    </row>
    <row r="85" spans="1:7" x14ac:dyDescent="0.2">
      <c r="A85" s="2">
        <v>45868</v>
      </c>
      <c r="B85" t="s">
        <v>315</v>
      </c>
      <c r="C85" t="s">
        <v>47</v>
      </c>
      <c r="D85" s="8">
        <v>0</v>
      </c>
      <c r="E85" s="8">
        <v>102</v>
      </c>
      <c r="F85" t="s">
        <v>50</v>
      </c>
      <c r="G85">
        <f>+COUNTIF([1]movimientos!$I:$I,B85)</f>
        <v>1</v>
      </c>
    </row>
    <row r="86" spans="1:7" x14ac:dyDescent="0.2">
      <c r="A86" s="2">
        <v>45868</v>
      </c>
      <c r="B86" t="s">
        <v>315</v>
      </c>
      <c r="C86" t="s">
        <v>46</v>
      </c>
      <c r="D86" s="8">
        <v>0</v>
      </c>
      <c r="E86" s="8">
        <v>0.36</v>
      </c>
      <c r="F86" t="s">
        <v>16</v>
      </c>
      <c r="G86">
        <f>+COUNTIF([1]movimientos!$I:$I,B86)</f>
        <v>1</v>
      </c>
    </row>
    <row r="87" spans="1:7" x14ac:dyDescent="0.2">
      <c r="A87" s="2">
        <v>45868</v>
      </c>
      <c r="B87" t="s">
        <v>315</v>
      </c>
      <c r="C87" t="s">
        <v>17</v>
      </c>
      <c r="D87" s="8">
        <v>0</v>
      </c>
      <c r="E87" s="8">
        <v>0.05</v>
      </c>
      <c r="F87" t="s">
        <v>16</v>
      </c>
      <c r="G87">
        <f>+COUNTIF([1]movimientos!$I:$I,B87)</f>
        <v>1</v>
      </c>
    </row>
    <row r="88" spans="1:7" x14ac:dyDescent="0.2">
      <c r="A88" s="3">
        <v>45860</v>
      </c>
      <c r="B88" s="4" t="s">
        <v>215</v>
      </c>
      <c r="C88" s="4" t="s">
        <v>47</v>
      </c>
      <c r="D88" s="9">
        <v>0</v>
      </c>
      <c r="E88" s="9">
        <v>150</v>
      </c>
      <c r="F88" s="4" t="s">
        <v>110</v>
      </c>
      <c r="G88">
        <f>+COUNTIF([1]movimientos!$I:$I,B88)</f>
        <v>1</v>
      </c>
    </row>
    <row r="89" spans="1:7" x14ac:dyDescent="0.2">
      <c r="A89" s="2">
        <v>45860</v>
      </c>
      <c r="B89" t="s">
        <v>215</v>
      </c>
      <c r="C89" t="s">
        <v>46</v>
      </c>
      <c r="D89" s="8">
        <v>0</v>
      </c>
      <c r="E89" s="8">
        <v>0.36</v>
      </c>
      <c r="F89" t="s">
        <v>16</v>
      </c>
      <c r="G89">
        <f>+COUNTIF([1]movimientos!$I:$I,B89)</f>
        <v>1</v>
      </c>
    </row>
    <row r="90" spans="1:7" x14ac:dyDescent="0.2">
      <c r="A90" s="2">
        <v>45860</v>
      </c>
      <c r="B90" t="s">
        <v>215</v>
      </c>
      <c r="C90" t="s">
        <v>17</v>
      </c>
      <c r="D90" s="8">
        <v>0</v>
      </c>
      <c r="E90" s="8">
        <v>0.05</v>
      </c>
      <c r="F90" t="s">
        <v>16</v>
      </c>
      <c r="G90">
        <f>+COUNTIF([1]movimientos!$I:$I,B90)</f>
        <v>1</v>
      </c>
    </row>
    <row r="91" spans="1:7" x14ac:dyDescent="0.2">
      <c r="A91" s="2">
        <v>45866</v>
      </c>
      <c r="B91" t="s">
        <v>281</v>
      </c>
      <c r="C91" t="s">
        <v>17</v>
      </c>
      <c r="D91" s="8">
        <v>0</v>
      </c>
      <c r="E91" s="8">
        <v>0.05</v>
      </c>
      <c r="F91" t="s">
        <v>16</v>
      </c>
      <c r="G91">
        <f>+COUNTIF([1]movimientos!$I:$I,B91)</f>
        <v>0</v>
      </c>
    </row>
    <row r="92" spans="1:7" x14ac:dyDescent="0.2">
      <c r="A92" s="2">
        <v>45866</v>
      </c>
      <c r="B92" t="s">
        <v>285</v>
      </c>
      <c r="C92" t="s">
        <v>17</v>
      </c>
      <c r="D92" s="8">
        <v>0</v>
      </c>
      <c r="E92" s="8">
        <v>0.05</v>
      </c>
      <c r="F92" t="s">
        <v>16</v>
      </c>
      <c r="G92">
        <f>+COUNTIF([1]movimientos!$I:$I,B92)</f>
        <v>0</v>
      </c>
    </row>
    <row r="93" spans="1:7" x14ac:dyDescent="0.2">
      <c r="A93" s="2">
        <v>45842</v>
      </c>
      <c r="B93" t="s">
        <v>36</v>
      </c>
      <c r="C93" t="s">
        <v>9</v>
      </c>
      <c r="D93" s="8">
        <v>16.559999999999999</v>
      </c>
      <c r="E93" s="8">
        <v>0</v>
      </c>
      <c r="F93" t="s">
        <v>37</v>
      </c>
      <c r="G93">
        <f>+COUNTIF([1]movimientos!$I:$I,B93)</f>
        <v>0</v>
      </c>
    </row>
    <row r="94" spans="1:7" x14ac:dyDescent="0.2">
      <c r="A94" s="2">
        <v>45848</v>
      </c>
      <c r="B94" t="s">
        <v>106</v>
      </c>
      <c r="C94" t="s">
        <v>9</v>
      </c>
      <c r="D94" s="8">
        <v>166.18</v>
      </c>
      <c r="E94" s="8">
        <v>0</v>
      </c>
      <c r="F94" t="s">
        <v>37</v>
      </c>
      <c r="G94">
        <f>+COUNTIF([1]movimientos!$I:$I,B94)</f>
        <v>0</v>
      </c>
    </row>
    <row r="95" spans="1:7" x14ac:dyDescent="0.2">
      <c r="A95" s="2">
        <v>45860</v>
      </c>
      <c r="B95" t="s">
        <v>222</v>
      </c>
      <c r="C95" t="s">
        <v>9</v>
      </c>
      <c r="D95" s="8">
        <v>6.9</v>
      </c>
      <c r="E95" s="8">
        <v>0</v>
      </c>
      <c r="F95" t="s">
        <v>223</v>
      </c>
      <c r="G95">
        <f>+COUNTIF([1]movimientos!$I:$I,B95)</f>
        <v>0</v>
      </c>
    </row>
    <row r="96" spans="1:7" x14ac:dyDescent="0.2">
      <c r="A96" s="2">
        <v>45866</v>
      </c>
      <c r="B96" t="s">
        <v>282</v>
      </c>
      <c r="C96" t="s">
        <v>17</v>
      </c>
      <c r="D96" s="8">
        <v>0.05</v>
      </c>
      <c r="E96" s="8">
        <v>0</v>
      </c>
      <c r="F96" t="s">
        <v>17</v>
      </c>
      <c r="G96">
        <f>+COUNTIF([1]movimientos!$I:$I,B96)</f>
        <v>0</v>
      </c>
    </row>
    <row r="97" spans="1:7" x14ac:dyDescent="0.2">
      <c r="A97" s="2">
        <v>45866</v>
      </c>
      <c r="B97" t="s">
        <v>286</v>
      </c>
      <c r="C97" t="s">
        <v>17</v>
      </c>
      <c r="D97" s="8">
        <v>0.05</v>
      </c>
      <c r="E97" s="8">
        <v>0</v>
      </c>
      <c r="F97" t="s">
        <v>17</v>
      </c>
      <c r="G97">
        <f>+COUNTIF([1]movimientos!$I:$I,B97)</f>
        <v>0</v>
      </c>
    </row>
    <row r="98" spans="1:7" x14ac:dyDescent="0.2">
      <c r="A98" s="2">
        <v>45866</v>
      </c>
      <c r="B98" t="s">
        <v>288</v>
      </c>
      <c r="C98" t="s">
        <v>17</v>
      </c>
      <c r="D98" s="8">
        <v>0.05</v>
      </c>
      <c r="E98" s="8">
        <v>0</v>
      </c>
      <c r="F98" t="s">
        <v>17</v>
      </c>
      <c r="G98">
        <f>+COUNTIF([1]movimientos!$I:$I,B98)</f>
        <v>0</v>
      </c>
    </row>
    <row r="99" spans="1:7" x14ac:dyDescent="0.2">
      <c r="A99" s="2">
        <v>45869</v>
      </c>
      <c r="B99" t="s">
        <v>339</v>
      </c>
      <c r="C99" t="s">
        <v>17</v>
      </c>
      <c r="D99" s="8">
        <v>0.05</v>
      </c>
      <c r="E99" s="8">
        <v>0</v>
      </c>
      <c r="F99" t="s">
        <v>17</v>
      </c>
      <c r="G99">
        <f>+COUNTIF([1]movimientos!$I:$I,B99)</f>
        <v>0</v>
      </c>
    </row>
    <row r="100" spans="1:7" x14ac:dyDescent="0.2">
      <c r="A100" s="2">
        <v>45868</v>
      </c>
      <c r="B100" t="s">
        <v>318</v>
      </c>
      <c r="C100" t="s">
        <v>9</v>
      </c>
      <c r="D100" s="8">
        <v>8.2799999999999994</v>
      </c>
      <c r="E100" s="8">
        <v>0</v>
      </c>
      <c r="F100" t="s">
        <v>319</v>
      </c>
      <c r="G100">
        <f>+COUNTIF([1]movimientos!$I:$I,B100)</f>
        <v>0</v>
      </c>
    </row>
    <row r="101" spans="1:7" x14ac:dyDescent="0.2">
      <c r="A101" s="2">
        <v>45848</v>
      </c>
      <c r="B101" t="s">
        <v>111</v>
      </c>
      <c r="C101" t="s">
        <v>9</v>
      </c>
      <c r="D101" s="8">
        <v>109.15</v>
      </c>
      <c r="E101" s="8">
        <v>0</v>
      </c>
      <c r="F101" t="s">
        <v>112</v>
      </c>
      <c r="G101">
        <f>+COUNTIF([1]movimientos!$I:$I,B101)</f>
        <v>0</v>
      </c>
    </row>
    <row r="102" spans="1:7" x14ac:dyDescent="0.2">
      <c r="A102" s="2">
        <v>45866</v>
      </c>
      <c r="B102" t="s">
        <v>287</v>
      </c>
      <c r="C102" t="s">
        <v>17</v>
      </c>
      <c r="D102" s="8">
        <v>0</v>
      </c>
      <c r="E102" s="8">
        <v>0.05</v>
      </c>
      <c r="F102" t="s">
        <v>16</v>
      </c>
      <c r="G102">
        <f>+COUNTIF([1]movimientos!$I:$I,B102)</f>
        <v>0</v>
      </c>
    </row>
    <row r="103" spans="1:7" x14ac:dyDescent="0.2">
      <c r="A103" s="2">
        <v>45846</v>
      </c>
      <c r="B103" t="s">
        <v>76</v>
      </c>
      <c r="C103" t="s">
        <v>9</v>
      </c>
      <c r="D103" s="8">
        <v>7</v>
      </c>
      <c r="E103" s="8">
        <v>0</v>
      </c>
      <c r="F103" t="s">
        <v>77</v>
      </c>
      <c r="G103">
        <f>+COUNTIF([1]movimientos!$I:$I,B103)</f>
        <v>0</v>
      </c>
    </row>
    <row r="104" spans="1:7" x14ac:dyDescent="0.2">
      <c r="A104" s="2">
        <v>45840</v>
      </c>
      <c r="B104" t="s">
        <v>22</v>
      </c>
      <c r="C104" t="s">
        <v>12</v>
      </c>
      <c r="D104" s="8">
        <v>230</v>
      </c>
      <c r="E104" s="8">
        <v>0</v>
      </c>
      <c r="F104" t="s">
        <v>23</v>
      </c>
      <c r="G104">
        <f>+COUNTIF([1]movimientos!$I:$I,B104)</f>
        <v>0</v>
      </c>
    </row>
    <row r="105" spans="1:7" x14ac:dyDescent="0.2">
      <c r="A105" s="2">
        <v>45866</v>
      </c>
      <c r="B105" t="s">
        <v>291</v>
      </c>
      <c r="C105" t="s">
        <v>17</v>
      </c>
      <c r="D105" s="8">
        <v>0</v>
      </c>
      <c r="E105" s="8">
        <v>0.05</v>
      </c>
      <c r="F105" t="s">
        <v>16</v>
      </c>
      <c r="G105">
        <f>+COUNTIF([1]movimientos!$I:$I,B105)</f>
        <v>0</v>
      </c>
    </row>
    <row r="106" spans="1:7" x14ac:dyDescent="0.2">
      <c r="A106" s="2">
        <v>45839</v>
      </c>
      <c r="B106" t="s">
        <v>8</v>
      </c>
      <c r="C106" t="s">
        <v>9</v>
      </c>
      <c r="D106" s="8">
        <v>195.5</v>
      </c>
      <c r="E106" s="8">
        <v>0</v>
      </c>
      <c r="F106" t="s">
        <v>10</v>
      </c>
      <c r="G106">
        <f>+COUNTIF([1]movimientos!$I:$I,B106)</f>
        <v>0</v>
      </c>
    </row>
    <row r="107" spans="1:7" x14ac:dyDescent="0.2">
      <c r="A107" s="2">
        <v>45861</v>
      </c>
      <c r="B107" t="s">
        <v>231</v>
      </c>
      <c r="C107" t="s">
        <v>9</v>
      </c>
      <c r="D107" s="8">
        <v>4</v>
      </c>
      <c r="E107" s="8">
        <v>0</v>
      </c>
      <c r="F107" t="s">
        <v>10</v>
      </c>
      <c r="G107">
        <f>+COUNTIF([1]movimientos!$I:$I,B107)</f>
        <v>0</v>
      </c>
    </row>
    <row r="108" spans="1:7" x14ac:dyDescent="0.2">
      <c r="A108" s="2">
        <v>45861</v>
      </c>
      <c r="B108" t="s">
        <v>232</v>
      </c>
      <c r="C108" t="s">
        <v>9</v>
      </c>
      <c r="D108" s="8">
        <v>0.6</v>
      </c>
      <c r="E108" s="8">
        <v>0</v>
      </c>
      <c r="F108" t="s">
        <v>10</v>
      </c>
      <c r="G108">
        <f>+COUNTIF([1]movimientos!$I:$I,B108)</f>
        <v>0</v>
      </c>
    </row>
    <row r="109" spans="1:7" x14ac:dyDescent="0.2">
      <c r="A109" s="2">
        <v>45866</v>
      </c>
      <c r="B109" t="s">
        <v>292</v>
      </c>
      <c r="C109" t="s">
        <v>9</v>
      </c>
      <c r="D109" s="8">
        <v>8.0500000000000007</v>
      </c>
      <c r="E109" s="8">
        <v>0</v>
      </c>
      <c r="F109" t="s">
        <v>10</v>
      </c>
      <c r="G109">
        <f>+COUNTIF([1]movimientos!$I:$I,B109)</f>
        <v>0</v>
      </c>
    </row>
    <row r="110" spans="1:7" x14ac:dyDescent="0.2">
      <c r="A110" s="2">
        <v>45845</v>
      </c>
      <c r="B110" t="s">
        <v>51</v>
      </c>
      <c r="C110" t="s">
        <v>9</v>
      </c>
      <c r="D110" s="8">
        <v>10</v>
      </c>
      <c r="E110" s="8">
        <v>0</v>
      </c>
      <c r="F110" t="s">
        <v>52</v>
      </c>
      <c r="G110">
        <f>+COUNTIF([1]movimientos!$I:$I,B110)</f>
        <v>0</v>
      </c>
    </row>
    <row r="111" spans="1:7" x14ac:dyDescent="0.2">
      <c r="A111" s="2">
        <v>45869</v>
      </c>
      <c r="B111" t="s">
        <v>344</v>
      </c>
      <c r="C111" t="s">
        <v>9</v>
      </c>
      <c r="D111" s="8">
        <v>35</v>
      </c>
      <c r="E111" s="8">
        <v>0</v>
      </c>
      <c r="F111" t="s">
        <v>345</v>
      </c>
      <c r="G111">
        <f>+COUNTIF([1]movimientos!$I:$I,B111)</f>
        <v>0</v>
      </c>
    </row>
    <row r="112" spans="1:7" x14ac:dyDescent="0.2">
      <c r="A112" s="2">
        <v>45868</v>
      </c>
      <c r="B112" t="s">
        <v>324</v>
      </c>
      <c r="C112" t="s">
        <v>9</v>
      </c>
      <c r="D112" s="8">
        <v>28.98</v>
      </c>
      <c r="E112" s="8">
        <v>0</v>
      </c>
      <c r="F112" t="s">
        <v>325</v>
      </c>
      <c r="G112">
        <f>+COUNTIF([1]movimientos!$I:$I,B112)</f>
        <v>0</v>
      </c>
    </row>
    <row r="113" spans="1:7" x14ac:dyDescent="0.2">
      <c r="A113" s="2">
        <v>45852</v>
      </c>
      <c r="B113" t="s">
        <v>150</v>
      </c>
      <c r="C113" t="s">
        <v>9</v>
      </c>
      <c r="D113" s="8">
        <v>17.25</v>
      </c>
      <c r="E113" s="8">
        <v>0</v>
      </c>
      <c r="F113" t="s">
        <v>151</v>
      </c>
      <c r="G113">
        <f>+COUNTIF([1]movimientos!$I:$I,B113)</f>
        <v>0</v>
      </c>
    </row>
    <row r="114" spans="1:7" x14ac:dyDescent="0.2">
      <c r="A114" s="3">
        <v>45866</v>
      </c>
      <c r="B114" s="4" t="s">
        <v>280</v>
      </c>
      <c r="C114" s="4" t="s">
        <v>47</v>
      </c>
      <c r="D114" s="9">
        <v>0</v>
      </c>
      <c r="E114" s="9">
        <v>155.25</v>
      </c>
      <c r="F114" s="4" t="s">
        <v>110</v>
      </c>
      <c r="G114">
        <f>+COUNTIF([1]movimientos!$I:$I,B114)</f>
        <v>1</v>
      </c>
    </row>
    <row r="115" spans="1:7" x14ac:dyDescent="0.2">
      <c r="A115" s="2">
        <v>45846</v>
      </c>
      <c r="B115" t="s">
        <v>82</v>
      </c>
      <c r="C115" t="s">
        <v>9</v>
      </c>
      <c r="D115" s="8">
        <v>35</v>
      </c>
      <c r="E115" s="8">
        <v>0</v>
      </c>
      <c r="F115" t="s">
        <v>83</v>
      </c>
      <c r="G115">
        <f>+COUNTIF([1]movimientos!$I:$I,B115)</f>
        <v>0</v>
      </c>
    </row>
    <row r="116" spans="1:7" x14ac:dyDescent="0.2">
      <c r="A116" s="2">
        <v>45866</v>
      </c>
      <c r="B116" t="s">
        <v>280</v>
      </c>
      <c r="C116" t="s">
        <v>46</v>
      </c>
      <c r="D116" s="8">
        <v>0</v>
      </c>
      <c r="E116" s="8">
        <v>0.36</v>
      </c>
      <c r="F116" t="s">
        <v>16</v>
      </c>
      <c r="G116">
        <f>+COUNTIF([1]movimientos!$I:$I,B116)</f>
        <v>1</v>
      </c>
    </row>
    <row r="117" spans="1:7" x14ac:dyDescent="0.2">
      <c r="A117" s="2">
        <v>45853</v>
      </c>
      <c r="B117" t="s">
        <v>169</v>
      </c>
      <c r="C117" t="s">
        <v>9</v>
      </c>
      <c r="D117" s="8">
        <v>17.25</v>
      </c>
      <c r="E117" s="8">
        <v>0</v>
      </c>
      <c r="F117" t="s">
        <v>170</v>
      </c>
      <c r="G117">
        <f>+COUNTIF([1]movimientos!$I:$I,B117)</f>
        <v>0</v>
      </c>
    </row>
    <row r="118" spans="1:7" x14ac:dyDescent="0.2">
      <c r="A118" s="2">
        <v>45846</v>
      </c>
      <c r="B118" t="s">
        <v>84</v>
      </c>
      <c r="C118" t="s">
        <v>9</v>
      </c>
      <c r="D118" s="8">
        <v>8</v>
      </c>
      <c r="E118" s="8">
        <v>0</v>
      </c>
      <c r="F118" t="s">
        <v>85</v>
      </c>
      <c r="G118">
        <f>+COUNTIF([1]movimientos!$I:$I,B118)</f>
        <v>0</v>
      </c>
    </row>
    <row r="119" spans="1:7" x14ac:dyDescent="0.2">
      <c r="A119" s="2">
        <v>45849</v>
      </c>
      <c r="B119" t="s">
        <v>126</v>
      </c>
      <c r="C119" t="s">
        <v>9</v>
      </c>
      <c r="D119" s="8">
        <v>50</v>
      </c>
      <c r="E119" s="8">
        <v>0</v>
      </c>
      <c r="F119" t="s">
        <v>127</v>
      </c>
      <c r="G119">
        <f>+COUNTIF([1]movimientos!$I:$I,B119)</f>
        <v>0</v>
      </c>
    </row>
    <row r="120" spans="1:7" x14ac:dyDescent="0.2">
      <c r="A120" s="2">
        <v>45855</v>
      </c>
      <c r="B120" t="s">
        <v>190</v>
      </c>
      <c r="C120" t="s">
        <v>9</v>
      </c>
      <c r="D120" s="8">
        <v>6.9</v>
      </c>
      <c r="E120" s="8">
        <v>0</v>
      </c>
      <c r="F120" t="s">
        <v>191</v>
      </c>
      <c r="G120">
        <f>+COUNTIF([1]movimientos!$I:$I,B120)</f>
        <v>0</v>
      </c>
    </row>
    <row r="121" spans="1:7" x14ac:dyDescent="0.2">
      <c r="A121" s="2">
        <v>45852</v>
      </c>
      <c r="B121" t="s">
        <v>144</v>
      </c>
      <c r="C121" t="s">
        <v>9</v>
      </c>
      <c r="D121" s="8">
        <v>14.95</v>
      </c>
      <c r="E121" s="8">
        <v>0</v>
      </c>
      <c r="F121" t="s">
        <v>145</v>
      </c>
      <c r="G121">
        <f>+COUNTIF([1]movimientos!$I:$I,B121)</f>
        <v>0</v>
      </c>
    </row>
    <row r="122" spans="1:7" x14ac:dyDescent="0.2">
      <c r="A122" s="2">
        <v>45866</v>
      </c>
      <c r="B122" t="s">
        <v>280</v>
      </c>
      <c r="C122" t="s">
        <v>17</v>
      </c>
      <c r="D122" s="8">
        <v>0</v>
      </c>
      <c r="E122" s="8">
        <v>0.05</v>
      </c>
      <c r="F122" t="s">
        <v>16</v>
      </c>
      <c r="G122">
        <f>+COUNTIF([1]movimientos!$I:$I,B122)</f>
        <v>1</v>
      </c>
    </row>
    <row r="123" spans="1:7" x14ac:dyDescent="0.2">
      <c r="A123" s="2">
        <v>45866</v>
      </c>
      <c r="B123" t="s">
        <v>278</v>
      </c>
      <c r="C123" t="s">
        <v>47</v>
      </c>
      <c r="D123" s="8">
        <v>0</v>
      </c>
      <c r="E123" s="8">
        <v>500</v>
      </c>
      <c r="F123" t="s">
        <v>279</v>
      </c>
      <c r="G123">
        <f>+COUNTIF([1]movimientos!$I:$I,B123)</f>
        <v>1</v>
      </c>
    </row>
    <row r="124" spans="1:7" x14ac:dyDescent="0.2">
      <c r="A124" s="2">
        <v>45869</v>
      </c>
      <c r="B124" t="s">
        <v>338</v>
      </c>
      <c r="C124" t="s">
        <v>17</v>
      </c>
      <c r="D124" s="8">
        <v>0</v>
      </c>
      <c r="E124" s="8">
        <v>0.05</v>
      </c>
      <c r="F124" t="s">
        <v>16</v>
      </c>
      <c r="G124">
        <f>+COUNTIF([1]movimientos!$I:$I,B124)</f>
        <v>0</v>
      </c>
    </row>
    <row r="125" spans="1:7" x14ac:dyDescent="0.2">
      <c r="A125" s="2">
        <v>45854</v>
      </c>
      <c r="B125" t="s">
        <v>183</v>
      </c>
      <c r="C125" t="s">
        <v>9</v>
      </c>
      <c r="D125" s="8">
        <v>8.8000000000000007</v>
      </c>
      <c r="E125" s="8">
        <v>0</v>
      </c>
      <c r="F125" t="s">
        <v>145</v>
      </c>
      <c r="G125">
        <f>+COUNTIF([1]movimientos!$I:$I,B125)</f>
        <v>0</v>
      </c>
    </row>
    <row r="126" spans="1:7" x14ac:dyDescent="0.2">
      <c r="A126" s="2">
        <v>45852</v>
      </c>
      <c r="B126" t="s">
        <v>157</v>
      </c>
      <c r="C126" t="s">
        <v>9</v>
      </c>
      <c r="D126" s="8">
        <v>2.75</v>
      </c>
      <c r="E126" s="8">
        <v>0</v>
      </c>
      <c r="F126" t="s">
        <v>158</v>
      </c>
      <c r="G126">
        <f>+COUNTIF([1]movimientos!$I:$I,B126)</f>
        <v>0</v>
      </c>
    </row>
    <row r="127" spans="1:7" x14ac:dyDescent="0.2">
      <c r="A127" s="2">
        <v>45853</v>
      </c>
      <c r="B127" t="s">
        <v>176</v>
      </c>
      <c r="C127" t="s">
        <v>9</v>
      </c>
      <c r="D127" s="8">
        <v>53</v>
      </c>
      <c r="E127" s="8">
        <v>0</v>
      </c>
      <c r="F127" t="s">
        <v>158</v>
      </c>
      <c r="G127">
        <f>+COUNTIF([1]movimientos!$I:$I,B127)</f>
        <v>0</v>
      </c>
    </row>
    <row r="128" spans="1:7" x14ac:dyDescent="0.2">
      <c r="A128" s="2">
        <v>45866</v>
      </c>
      <c r="B128" t="s">
        <v>289</v>
      </c>
      <c r="C128" t="s">
        <v>9</v>
      </c>
      <c r="D128" s="8">
        <v>6</v>
      </c>
      <c r="E128" s="8">
        <v>0</v>
      </c>
      <c r="F128" t="s">
        <v>290</v>
      </c>
      <c r="G128">
        <f>+COUNTIF([1]movimientos!$I:$I,B128)</f>
        <v>0</v>
      </c>
    </row>
    <row r="129" spans="1:7" x14ac:dyDescent="0.2">
      <c r="A129" s="2">
        <v>45855</v>
      </c>
      <c r="B129" t="s">
        <v>192</v>
      </c>
      <c r="C129" t="s">
        <v>9</v>
      </c>
      <c r="D129" s="8">
        <v>1</v>
      </c>
      <c r="E129" s="8">
        <v>0</v>
      </c>
      <c r="F129" t="s">
        <v>193</v>
      </c>
      <c r="G129">
        <f>+COUNTIF([1]movimientos!$I:$I,B129)</f>
        <v>0</v>
      </c>
    </row>
    <row r="130" spans="1:7" x14ac:dyDescent="0.2">
      <c r="A130" s="2">
        <v>45869</v>
      </c>
      <c r="B130" t="s">
        <v>340</v>
      </c>
      <c r="C130" t="s">
        <v>17</v>
      </c>
      <c r="D130" s="8">
        <v>0</v>
      </c>
      <c r="E130" s="8">
        <v>0.05</v>
      </c>
      <c r="F130" t="s">
        <v>16</v>
      </c>
      <c r="G130">
        <f>+COUNTIF([1]movimientos!$I:$I,B130)</f>
        <v>0</v>
      </c>
    </row>
    <row r="131" spans="1:7" x14ac:dyDescent="0.2">
      <c r="A131" s="2">
        <v>45845</v>
      </c>
      <c r="B131" t="s">
        <v>60</v>
      </c>
      <c r="C131" t="s">
        <v>62</v>
      </c>
      <c r="D131" s="8">
        <v>0</v>
      </c>
      <c r="E131" s="8">
        <v>0.03</v>
      </c>
      <c r="F131" t="s">
        <v>16</v>
      </c>
      <c r="G131">
        <f>+COUNTIF([1]movimientos!$I:$I,B131)</f>
        <v>0</v>
      </c>
    </row>
    <row r="132" spans="1:7" x14ac:dyDescent="0.2">
      <c r="A132" s="2">
        <v>45845</v>
      </c>
      <c r="B132" t="s">
        <v>64</v>
      </c>
      <c r="C132" t="s">
        <v>62</v>
      </c>
      <c r="D132" s="8">
        <v>0</v>
      </c>
      <c r="E132" s="8">
        <v>0.03</v>
      </c>
      <c r="F132" t="s">
        <v>16</v>
      </c>
      <c r="G132">
        <f>+COUNTIF([1]movimientos!$I:$I,B132)</f>
        <v>0</v>
      </c>
    </row>
    <row r="133" spans="1:7" x14ac:dyDescent="0.2">
      <c r="A133" s="2">
        <v>45867</v>
      </c>
      <c r="B133" t="s">
        <v>299</v>
      </c>
      <c r="C133" t="s">
        <v>9</v>
      </c>
      <c r="D133" s="8">
        <v>2.5</v>
      </c>
      <c r="E133" s="8">
        <v>0</v>
      </c>
      <c r="F133" t="s">
        <v>300</v>
      </c>
      <c r="G133">
        <f>+COUNTIF([1]movimientos!$I:$I,B133)</f>
        <v>0</v>
      </c>
    </row>
    <row r="134" spans="1:7" x14ac:dyDescent="0.2">
      <c r="A134" s="2">
        <v>45860</v>
      </c>
      <c r="B134" t="s">
        <v>217</v>
      </c>
      <c r="C134" t="s">
        <v>9</v>
      </c>
      <c r="D134" s="8">
        <v>28</v>
      </c>
      <c r="E134" s="8">
        <v>0</v>
      </c>
      <c r="F134" t="s">
        <v>218</v>
      </c>
      <c r="G134">
        <f>+COUNTIF([1]movimientos!$I:$I,B134)</f>
        <v>0</v>
      </c>
    </row>
    <row r="135" spans="1:7" x14ac:dyDescent="0.2">
      <c r="A135" s="2">
        <v>45852</v>
      </c>
      <c r="B135" t="s">
        <v>148</v>
      </c>
      <c r="C135" t="s">
        <v>9</v>
      </c>
      <c r="D135" s="8">
        <v>275</v>
      </c>
      <c r="E135" s="8">
        <v>0</v>
      </c>
      <c r="F135" t="s">
        <v>149</v>
      </c>
      <c r="G135">
        <f>+COUNTIF([1]movimientos!$I:$I,B135)</f>
        <v>0</v>
      </c>
    </row>
    <row r="136" spans="1:7" x14ac:dyDescent="0.2">
      <c r="A136" s="2">
        <v>45847</v>
      </c>
      <c r="B136" t="s">
        <v>94</v>
      </c>
      <c r="C136" t="s">
        <v>9</v>
      </c>
      <c r="D136" s="8">
        <v>13.46</v>
      </c>
      <c r="E136" s="8">
        <v>0</v>
      </c>
      <c r="F136" t="s">
        <v>95</v>
      </c>
      <c r="G136">
        <f>+COUNTIF([1]movimientos!$I:$I,B136)</f>
        <v>0</v>
      </c>
    </row>
    <row r="137" spans="1:7" x14ac:dyDescent="0.2">
      <c r="A137" s="2">
        <v>45866</v>
      </c>
      <c r="B137" t="s">
        <v>261</v>
      </c>
      <c r="C137" t="s">
        <v>9</v>
      </c>
      <c r="D137" s="8">
        <v>15.53</v>
      </c>
      <c r="E137" s="8">
        <v>0</v>
      </c>
      <c r="F137" t="s">
        <v>95</v>
      </c>
      <c r="G137">
        <f>+COUNTIF([1]movimientos!$I:$I,B137)</f>
        <v>0</v>
      </c>
    </row>
    <row r="138" spans="1:7" x14ac:dyDescent="0.2">
      <c r="A138" s="2">
        <v>45846</v>
      </c>
      <c r="B138" t="s">
        <v>78</v>
      </c>
      <c r="C138" t="s">
        <v>9</v>
      </c>
      <c r="D138" s="8">
        <v>4</v>
      </c>
      <c r="E138" s="8">
        <v>0</v>
      </c>
      <c r="F138" t="s">
        <v>79</v>
      </c>
      <c r="G138">
        <f>+COUNTIF([1]movimientos!$I:$I,B138)</f>
        <v>0</v>
      </c>
    </row>
    <row r="139" spans="1:7" x14ac:dyDescent="0.2">
      <c r="A139" s="2">
        <v>45847</v>
      </c>
      <c r="B139" t="s">
        <v>96</v>
      </c>
      <c r="C139" t="s">
        <v>9</v>
      </c>
      <c r="D139" s="8">
        <v>35</v>
      </c>
      <c r="E139" s="8">
        <v>0</v>
      </c>
      <c r="F139" t="s">
        <v>97</v>
      </c>
      <c r="G139">
        <f>+COUNTIF([1]movimientos!$I:$I,B139)</f>
        <v>0</v>
      </c>
    </row>
    <row r="140" spans="1:7" x14ac:dyDescent="0.2">
      <c r="A140" s="2">
        <v>45866</v>
      </c>
      <c r="B140" t="s">
        <v>282</v>
      </c>
      <c r="C140" t="s">
        <v>283</v>
      </c>
      <c r="D140" s="8">
        <v>0.34</v>
      </c>
      <c r="E140" s="8">
        <v>0</v>
      </c>
      <c r="F140" t="s">
        <v>13</v>
      </c>
      <c r="G140">
        <f>+COUNTIF([1]movimientos!$I:$I,B140)</f>
        <v>0</v>
      </c>
    </row>
    <row r="141" spans="1:7" x14ac:dyDescent="0.2">
      <c r="A141" s="2">
        <v>45866</v>
      </c>
      <c r="B141" t="s">
        <v>286</v>
      </c>
      <c r="C141" t="s">
        <v>283</v>
      </c>
      <c r="D141" s="8">
        <v>0.34</v>
      </c>
      <c r="E141" s="8">
        <v>0</v>
      </c>
      <c r="F141" t="s">
        <v>13</v>
      </c>
      <c r="G141">
        <f>+COUNTIF([1]movimientos!$I:$I,B141)</f>
        <v>0</v>
      </c>
    </row>
    <row r="142" spans="1:7" x14ac:dyDescent="0.2">
      <c r="A142" s="2">
        <v>45866</v>
      </c>
      <c r="B142" t="s">
        <v>288</v>
      </c>
      <c r="C142" t="s">
        <v>283</v>
      </c>
      <c r="D142" s="8">
        <v>0.34</v>
      </c>
      <c r="E142" s="8">
        <v>0</v>
      </c>
      <c r="F142" t="s">
        <v>13</v>
      </c>
      <c r="G142">
        <f>+COUNTIF([1]movimientos!$I:$I,B142)</f>
        <v>0</v>
      </c>
    </row>
    <row r="143" spans="1:7" x14ac:dyDescent="0.2">
      <c r="A143" s="2">
        <v>45869</v>
      </c>
      <c r="B143" t="s">
        <v>339</v>
      </c>
      <c r="C143" t="s">
        <v>283</v>
      </c>
      <c r="D143" s="8">
        <v>0.34</v>
      </c>
      <c r="E143" s="8">
        <v>0</v>
      </c>
      <c r="F143" t="s">
        <v>13</v>
      </c>
      <c r="G143">
        <f>+COUNTIF([1]movimientos!$I:$I,B143)</f>
        <v>0</v>
      </c>
    </row>
    <row r="144" spans="1:7" x14ac:dyDescent="0.2">
      <c r="A144" s="2">
        <v>45853</v>
      </c>
      <c r="B144" t="s">
        <v>171</v>
      </c>
      <c r="C144" t="s">
        <v>172</v>
      </c>
      <c r="D144" s="8">
        <v>18</v>
      </c>
      <c r="E144" s="8">
        <v>0</v>
      </c>
      <c r="F144" t="s">
        <v>13</v>
      </c>
      <c r="G144">
        <f>+COUNTIF([1]movimientos!$I:$I,B144)</f>
        <v>0</v>
      </c>
    </row>
    <row r="145" spans="1:7" x14ac:dyDescent="0.2">
      <c r="A145" s="2">
        <v>45847</v>
      </c>
      <c r="B145" t="s">
        <v>88</v>
      </c>
      <c r="C145" t="s">
        <v>89</v>
      </c>
      <c r="D145" s="8">
        <v>270</v>
      </c>
      <c r="E145" s="8">
        <v>0</v>
      </c>
      <c r="F145" t="s">
        <v>13</v>
      </c>
      <c r="G145">
        <f>+COUNTIF([1]movimientos!$I:$I,B145)</f>
        <v>0</v>
      </c>
    </row>
    <row r="146" spans="1:7" x14ac:dyDescent="0.2">
      <c r="A146" s="2">
        <v>45852</v>
      </c>
      <c r="B146" t="s">
        <v>133</v>
      </c>
      <c r="C146" t="s">
        <v>89</v>
      </c>
      <c r="D146" s="8">
        <v>60</v>
      </c>
      <c r="E146" s="8">
        <v>0</v>
      </c>
      <c r="F146" t="s">
        <v>13</v>
      </c>
      <c r="G146">
        <f>+COUNTIF([1]movimientos!$I:$I,B146)</f>
        <v>0</v>
      </c>
    </row>
    <row r="147" spans="1:7" x14ac:dyDescent="0.2">
      <c r="A147" s="2">
        <v>45860</v>
      </c>
      <c r="B147" t="s">
        <v>219</v>
      </c>
      <c r="C147" t="s">
        <v>89</v>
      </c>
      <c r="D147" s="8">
        <v>100</v>
      </c>
      <c r="E147" s="8">
        <v>0</v>
      </c>
      <c r="F147" t="s">
        <v>13</v>
      </c>
      <c r="G147">
        <f>+COUNTIF([1]movimientos!$I:$I,B147)</f>
        <v>0</v>
      </c>
    </row>
    <row r="148" spans="1:7" x14ac:dyDescent="0.2">
      <c r="A148" s="2">
        <v>45853</v>
      </c>
      <c r="B148" t="s">
        <v>173</v>
      </c>
      <c r="C148" t="s">
        <v>174</v>
      </c>
      <c r="D148" s="8">
        <v>290</v>
      </c>
      <c r="E148" s="8">
        <v>0</v>
      </c>
      <c r="F148" t="s">
        <v>13</v>
      </c>
      <c r="G148">
        <f>+COUNTIF([1]movimientos!$I:$I,B148)</f>
        <v>0</v>
      </c>
    </row>
    <row r="149" spans="1:7" x14ac:dyDescent="0.2">
      <c r="A149" s="2">
        <v>45859</v>
      </c>
      <c r="B149" t="s">
        <v>203</v>
      </c>
      <c r="C149" t="s">
        <v>174</v>
      </c>
      <c r="D149" s="8">
        <v>60</v>
      </c>
      <c r="E149" s="8">
        <v>0</v>
      </c>
      <c r="F149" t="s">
        <v>13</v>
      </c>
      <c r="G149">
        <f>+COUNTIF([1]movimientos!$I:$I,B149)</f>
        <v>0</v>
      </c>
    </row>
    <row r="150" spans="1:7" x14ac:dyDescent="0.2">
      <c r="A150" s="2">
        <v>45862</v>
      </c>
      <c r="B150" t="s">
        <v>239</v>
      </c>
      <c r="C150" t="s">
        <v>174</v>
      </c>
      <c r="D150" s="8">
        <v>100</v>
      </c>
      <c r="E150" s="8">
        <v>0</v>
      </c>
      <c r="F150" t="s">
        <v>13</v>
      </c>
      <c r="G150">
        <f>+COUNTIF([1]movimientos!$I:$I,B150)</f>
        <v>0</v>
      </c>
    </row>
    <row r="151" spans="1:7" x14ac:dyDescent="0.2">
      <c r="A151" s="2">
        <v>45867</v>
      </c>
      <c r="B151" t="s">
        <v>309</v>
      </c>
      <c r="C151" t="s">
        <v>174</v>
      </c>
      <c r="D151" s="8">
        <v>100</v>
      </c>
      <c r="E151" s="8">
        <v>0</v>
      </c>
      <c r="F151" t="s">
        <v>13</v>
      </c>
      <c r="G151">
        <f>+COUNTIF([1]movimientos!$I:$I,B151)</f>
        <v>0</v>
      </c>
    </row>
    <row r="152" spans="1:7" x14ac:dyDescent="0.2">
      <c r="A152" s="2">
        <v>45845</v>
      </c>
      <c r="B152" t="s">
        <v>65</v>
      </c>
      <c r="C152" t="s">
        <v>62</v>
      </c>
      <c r="D152" s="8">
        <v>0</v>
      </c>
      <c r="E152" s="8">
        <v>0.05</v>
      </c>
      <c r="F152" t="s">
        <v>16</v>
      </c>
      <c r="G152">
        <f>+COUNTIF([1]movimientos!$I:$I,B152)</f>
        <v>0</v>
      </c>
    </row>
    <row r="153" spans="1:7" x14ac:dyDescent="0.2">
      <c r="A153" s="2">
        <v>45845</v>
      </c>
      <c r="B153" t="s">
        <v>68</v>
      </c>
      <c r="C153" t="s">
        <v>62</v>
      </c>
      <c r="D153" s="8">
        <v>0</v>
      </c>
      <c r="E153" s="8">
        <v>0.05</v>
      </c>
      <c r="F153" t="s">
        <v>16</v>
      </c>
      <c r="G153">
        <f>+COUNTIF([1]movimientos!$I:$I,B153)</f>
        <v>0</v>
      </c>
    </row>
    <row r="154" spans="1:7" x14ac:dyDescent="0.2">
      <c r="A154" s="2">
        <v>45845</v>
      </c>
      <c r="B154" t="s">
        <v>69</v>
      </c>
      <c r="C154" t="s">
        <v>62</v>
      </c>
      <c r="D154" s="8">
        <v>0</v>
      </c>
      <c r="E154" s="8">
        <v>0.05</v>
      </c>
      <c r="F154" t="s">
        <v>16</v>
      </c>
      <c r="G154">
        <f>+COUNTIF([1]movimientos!$I:$I,B154)</f>
        <v>0</v>
      </c>
    </row>
    <row r="155" spans="1:7" x14ac:dyDescent="0.2">
      <c r="A155" s="2">
        <v>45849</v>
      </c>
      <c r="B155" t="s">
        <v>125</v>
      </c>
      <c r="C155" t="s">
        <v>62</v>
      </c>
      <c r="D155" s="8">
        <v>0</v>
      </c>
      <c r="E155" s="8">
        <v>0.03</v>
      </c>
      <c r="F155" t="s">
        <v>16</v>
      </c>
      <c r="G155">
        <f>+COUNTIF([1]movimientos!$I:$I,B155)</f>
        <v>0</v>
      </c>
    </row>
    <row r="156" spans="1:7" x14ac:dyDescent="0.2">
      <c r="A156" s="2">
        <v>45845</v>
      </c>
      <c r="B156" t="s">
        <v>65</v>
      </c>
      <c r="C156" t="s">
        <v>66</v>
      </c>
      <c r="D156" s="8">
        <v>0</v>
      </c>
      <c r="E156" s="8">
        <v>0.36</v>
      </c>
      <c r="F156" t="s">
        <v>16</v>
      </c>
      <c r="G156">
        <f>+COUNTIF([1]movimientos!$I:$I,B156)</f>
        <v>0</v>
      </c>
    </row>
    <row r="157" spans="1:7" x14ac:dyDescent="0.2">
      <c r="A157" s="2">
        <v>45866</v>
      </c>
      <c r="B157" t="s">
        <v>282</v>
      </c>
      <c r="C157" t="s">
        <v>284</v>
      </c>
      <c r="D157" s="8">
        <v>400</v>
      </c>
      <c r="E157" s="8">
        <v>0</v>
      </c>
      <c r="F157" t="s">
        <v>13</v>
      </c>
      <c r="G157">
        <f>+COUNTIF([1]movimientos!$I:$I,B157)</f>
        <v>0</v>
      </c>
    </row>
    <row r="158" spans="1:7" x14ac:dyDescent="0.2">
      <c r="A158" s="2">
        <v>45866</v>
      </c>
      <c r="B158" t="s">
        <v>286</v>
      </c>
      <c r="C158" t="s">
        <v>284</v>
      </c>
      <c r="D158" s="8">
        <v>400</v>
      </c>
      <c r="E158" s="8">
        <v>0</v>
      </c>
      <c r="F158" t="s">
        <v>13</v>
      </c>
      <c r="G158">
        <f>+COUNTIF([1]movimientos!$I:$I,B158)</f>
        <v>0</v>
      </c>
    </row>
    <row r="159" spans="1:7" x14ac:dyDescent="0.2">
      <c r="A159" s="2">
        <v>45866</v>
      </c>
      <c r="B159" t="s">
        <v>288</v>
      </c>
      <c r="C159" t="s">
        <v>284</v>
      </c>
      <c r="D159" s="8">
        <v>400</v>
      </c>
      <c r="E159" s="8">
        <v>0</v>
      </c>
      <c r="F159" t="s">
        <v>13</v>
      </c>
      <c r="G159">
        <f>+COUNTIF([1]movimientos!$I:$I,B159)</f>
        <v>0</v>
      </c>
    </row>
    <row r="160" spans="1:7" x14ac:dyDescent="0.2">
      <c r="A160" s="2">
        <v>45845</v>
      </c>
      <c r="B160" t="s">
        <v>68</v>
      </c>
      <c r="C160" t="s">
        <v>66</v>
      </c>
      <c r="D160" s="8">
        <v>0</v>
      </c>
      <c r="E160" s="8">
        <v>0.36</v>
      </c>
      <c r="F160" t="s">
        <v>16</v>
      </c>
      <c r="G160">
        <f>+COUNTIF([1]movimientos!$I:$I,B160)</f>
        <v>0</v>
      </c>
    </row>
    <row r="161" spans="1:7" x14ac:dyDescent="0.2">
      <c r="A161" s="2">
        <v>45845</v>
      </c>
      <c r="B161" t="s">
        <v>69</v>
      </c>
      <c r="C161" t="s">
        <v>66</v>
      </c>
      <c r="D161" s="8">
        <v>0</v>
      </c>
      <c r="E161" s="8">
        <v>0.36</v>
      </c>
      <c r="F161" t="s">
        <v>16</v>
      </c>
      <c r="G161">
        <f>+COUNTIF([1]movimientos!$I:$I,B161)</f>
        <v>0</v>
      </c>
    </row>
    <row r="162" spans="1:7" x14ac:dyDescent="0.2">
      <c r="A162" s="2">
        <v>45866</v>
      </c>
      <c r="B162" t="s">
        <v>278</v>
      </c>
      <c r="C162" t="s">
        <v>46</v>
      </c>
      <c r="D162" s="8">
        <v>0</v>
      </c>
      <c r="E162" s="8">
        <v>0.36</v>
      </c>
      <c r="F162" t="s">
        <v>16</v>
      </c>
      <c r="G162">
        <f>+COUNTIF([1]movimientos!$I:$I,B162)</f>
        <v>1</v>
      </c>
    </row>
    <row r="163" spans="1:7" x14ac:dyDescent="0.2">
      <c r="A163" s="2">
        <v>45866</v>
      </c>
      <c r="B163" t="s">
        <v>278</v>
      </c>
      <c r="C163" t="s">
        <v>17</v>
      </c>
      <c r="D163" s="8">
        <v>0</v>
      </c>
      <c r="E163" s="8">
        <v>0.05</v>
      </c>
      <c r="F163" t="s">
        <v>16</v>
      </c>
      <c r="G163">
        <f>+COUNTIF([1]movimientos!$I:$I,B163)</f>
        <v>1</v>
      </c>
    </row>
    <row r="164" spans="1:7" x14ac:dyDescent="0.2">
      <c r="A164" s="2">
        <v>45868</v>
      </c>
      <c r="B164" t="s">
        <v>313</v>
      </c>
      <c r="C164" t="s">
        <v>47</v>
      </c>
      <c r="D164" s="8">
        <v>0</v>
      </c>
      <c r="E164" s="8">
        <v>500</v>
      </c>
      <c r="F164" t="s">
        <v>279</v>
      </c>
      <c r="G164">
        <f>+COUNTIF([1]movimientos!$I:$I,B164)</f>
        <v>1</v>
      </c>
    </row>
    <row r="165" spans="1:7" x14ac:dyDescent="0.2">
      <c r="A165" s="2">
        <v>45868</v>
      </c>
      <c r="B165" t="s">
        <v>313</v>
      </c>
      <c r="C165" t="s">
        <v>46</v>
      </c>
      <c r="D165" s="8">
        <v>0</v>
      </c>
      <c r="E165" s="8">
        <v>0.36</v>
      </c>
      <c r="F165" t="s">
        <v>16</v>
      </c>
      <c r="G165">
        <f>+COUNTIF([1]movimientos!$I:$I,B165)</f>
        <v>1</v>
      </c>
    </row>
    <row r="166" spans="1:7" x14ac:dyDescent="0.2">
      <c r="A166" s="2">
        <v>45868</v>
      </c>
      <c r="B166" t="s">
        <v>313</v>
      </c>
      <c r="C166" t="s">
        <v>17</v>
      </c>
      <c r="D166" s="8">
        <v>0</v>
      </c>
      <c r="E166" s="8">
        <v>0.05</v>
      </c>
      <c r="F166" t="s">
        <v>16</v>
      </c>
      <c r="G166">
        <f>+COUNTIF([1]movimientos!$I:$I,B166)</f>
        <v>1</v>
      </c>
    </row>
    <row r="167" spans="1:7" x14ac:dyDescent="0.2">
      <c r="A167" s="2">
        <v>45845</v>
      </c>
      <c r="B167" t="s">
        <v>49</v>
      </c>
      <c r="C167" t="s">
        <v>47</v>
      </c>
      <c r="D167" s="8">
        <v>0</v>
      </c>
      <c r="E167" s="8">
        <v>150</v>
      </c>
      <c r="F167" t="s">
        <v>50</v>
      </c>
      <c r="G167">
        <f>+COUNTIF([1]movimientos!$I:$I,B167)</f>
        <v>1</v>
      </c>
    </row>
    <row r="168" spans="1:7" x14ac:dyDescent="0.2">
      <c r="A168" s="2">
        <v>45845</v>
      </c>
      <c r="B168" t="s">
        <v>49</v>
      </c>
      <c r="C168" t="s">
        <v>46</v>
      </c>
      <c r="D168" s="8">
        <v>0</v>
      </c>
      <c r="E168" s="8">
        <v>0.36</v>
      </c>
      <c r="F168" t="s">
        <v>16</v>
      </c>
      <c r="G168">
        <f>+COUNTIF([1]movimientos!$I:$I,B168)</f>
        <v>1</v>
      </c>
    </row>
    <row r="169" spans="1:7" x14ac:dyDescent="0.2">
      <c r="A169" s="2">
        <v>45845</v>
      </c>
      <c r="B169" t="s">
        <v>49</v>
      </c>
      <c r="C169" t="s">
        <v>17</v>
      </c>
      <c r="D169" s="8">
        <v>0</v>
      </c>
      <c r="E169" s="8">
        <v>0.05</v>
      </c>
      <c r="F169" t="s">
        <v>16</v>
      </c>
      <c r="G169">
        <f>+COUNTIF([1]movimientos!$I:$I,B169)</f>
        <v>1</v>
      </c>
    </row>
    <row r="170" spans="1:7" x14ac:dyDescent="0.2">
      <c r="A170" s="2">
        <v>45866</v>
      </c>
      <c r="B170" t="s">
        <v>275</v>
      </c>
      <c r="C170" t="s">
        <v>47</v>
      </c>
      <c r="D170" s="8">
        <v>0</v>
      </c>
      <c r="E170" s="8">
        <v>126.21</v>
      </c>
      <c r="F170" t="s">
        <v>274</v>
      </c>
      <c r="G170">
        <f>+COUNTIF([1]movimientos!$I:$I,B170)</f>
        <v>1</v>
      </c>
    </row>
    <row r="171" spans="1:7" x14ac:dyDescent="0.2">
      <c r="A171" s="2">
        <v>45866</v>
      </c>
      <c r="B171" t="s">
        <v>275</v>
      </c>
      <c r="C171" t="s">
        <v>46</v>
      </c>
      <c r="D171" s="8">
        <v>0</v>
      </c>
      <c r="E171" s="8">
        <v>1.92</v>
      </c>
      <c r="F171" t="s">
        <v>16</v>
      </c>
      <c r="G171">
        <f>+COUNTIF([1]movimientos!$I:$I,B171)</f>
        <v>1</v>
      </c>
    </row>
    <row r="172" spans="1:7" x14ac:dyDescent="0.2">
      <c r="A172" s="2">
        <v>45869</v>
      </c>
      <c r="B172" t="s">
        <v>339</v>
      </c>
      <c r="C172" t="s">
        <v>284</v>
      </c>
      <c r="D172" s="8">
        <v>300</v>
      </c>
      <c r="E172" s="8">
        <v>0</v>
      </c>
      <c r="F172" t="s">
        <v>13</v>
      </c>
      <c r="G172">
        <f>+COUNTIF([1]movimientos!$I:$I,B172)</f>
        <v>0</v>
      </c>
    </row>
    <row r="173" spans="1:7" x14ac:dyDescent="0.2">
      <c r="A173" s="2">
        <v>45866</v>
      </c>
      <c r="B173" t="s">
        <v>275</v>
      </c>
      <c r="C173" t="s">
        <v>17</v>
      </c>
      <c r="D173" s="8">
        <v>0</v>
      </c>
      <c r="E173" s="8">
        <v>0.28999999999999998</v>
      </c>
      <c r="F173" t="s">
        <v>16</v>
      </c>
      <c r="G173">
        <f>+COUNTIF([1]movimientos!$I:$I,B173)</f>
        <v>1</v>
      </c>
    </row>
    <row r="174" spans="1:7" x14ac:dyDescent="0.2">
      <c r="A174" s="2">
        <v>45866</v>
      </c>
      <c r="B174" t="s">
        <v>273</v>
      </c>
      <c r="C174" t="s">
        <v>47</v>
      </c>
      <c r="D174" s="8">
        <v>0</v>
      </c>
      <c r="E174" s="8">
        <v>156.61000000000001</v>
      </c>
      <c r="F174" t="s">
        <v>274</v>
      </c>
      <c r="G174">
        <f>+COUNTIF([1]movimientos!$I:$I,B174)</f>
        <v>1</v>
      </c>
    </row>
    <row r="175" spans="1:7" x14ac:dyDescent="0.2">
      <c r="A175" s="2">
        <v>45866</v>
      </c>
      <c r="B175" t="s">
        <v>273</v>
      </c>
      <c r="C175" t="s">
        <v>46</v>
      </c>
      <c r="D175" s="8">
        <v>0</v>
      </c>
      <c r="E175" s="8">
        <v>1.92</v>
      </c>
      <c r="F175" t="s">
        <v>16</v>
      </c>
      <c r="G175">
        <f>+COUNTIF([1]movimientos!$I:$I,B175)</f>
        <v>1</v>
      </c>
    </row>
    <row r="176" spans="1:7" x14ac:dyDescent="0.2">
      <c r="A176" s="2">
        <v>45866</v>
      </c>
      <c r="B176" t="s">
        <v>273</v>
      </c>
      <c r="C176" t="s">
        <v>17</v>
      </c>
      <c r="D176" s="8">
        <v>0</v>
      </c>
      <c r="E176" s="8">
        <v>0.28999999999999998</v>
      </c>
      <c r="F176" t="s">
        <v>16</v>
      </c>
      <c r="G176">
        <f>+COUNTIF([1]movimientos!$I:$I,B176)</f>
        <v>1</v>
      </c>
    </row>
    <row r="177" spans="1:7" x14ac:dyDescent="0.2">
      <c r="A177" s="2">
        <v>45840</v>
      </c>
      <c r="B177" t="s">
        <v>14</v>
      </c>
      <c r="C177" t="s">
        <v>15</v>
      </c>
      <c r="D177" s="8">
        <v>0</v>
      </c>
      <c r="E177" s="8">
        <v>0.34</v>
      </c>
      <c r="F177" t="s">
        <v>16</v>
      </c>
      <c r="G177">
        <f>+COUNTIF([1]movimientos!$I:$I,B177)</f>
        <v>0</v>
      </c>
    </row>
    <row r="178" spans="1:7" x14ac:dyDescent="0.2">
      <c r="A178" s="2">
        <v>45840</v>
      </c>
      <c r="B178" t="s">
        <v>19</v>
      </c>
      <c r="C178" t="s">
        <v>15</v>
      </c>
      <c r="D178" s="8">
        <v>0</v>
      </c>
      <c r="E178" s="8">
        <v>0.34</v>
      </c>
      <c r="F178" t="s">
        <v>16</v>
      </c>
      <c r="G178">
        <f>+COUNTIF([1]movimientos!$I:$I,B178)</f>
        <v>0</v>
      </c>
    </row>
    <row r="179" spans="1:7" x14ac:dyDescent="0.2">
      <c r="A179" s="2">
        <v>45849</v>
      </c>
      <c r="B179" t="s">
        <v>117</v>
      </c>
      <c r="C179" t="s">
        <v>15</v>
      </c>
      <c r="D179" s="8">
        <v>0</v>
      </c>
      <c r="E179" s="8">
        <v>0.34</v>
      </c>
      <c r="F179" t="s">
        <v>16</v>
      </c>
      <c r="G179">
        <f>+COUNTIF([1]movimientos!$I:$I,B179)</f>
        <v>0</v>
      </c>
    </row>
    <row r="180" spans="1:7" x14ac:dyDescent="0.2">
      <c r="A180" s="2">
        <v>45852</v>
      </c>
      <c r="B180" t="s">
        <v>141</v>
      </c>
      <c r="C180" t="s">
        <v>15</v>
      </c>
      <c r="D180" s="8">
        <v>0</v>
      </c>
      <c r="E180" s="8">
        <v>0.34</v>
      </c>
      <c r="F180" t="s">
        <v>16</v>
      </c>
      <c r="G180">
        <f>+COUNTIF([1]movimientos!$I:$I,B180)</f>
        <v>0</v>
      </c>
    </row>
    <row r="181" spans="1:7" x14ac:dyDescent="0.2">
      <c r="A181" s="2">
        <v>45839</v>
      </c>
      <c r="B181" t="s">
        <v>11</v>
      </c>
      <c r="C181" t="s">
        <v>12</v>
      </c>
      <c r="D181" s="8">
        <v>842.71</v>
      </c>
      <c r="E181" s="8">
        <v>0</v>
      </c>
      <c r="F181" t="s">
        <v>13</v>
      </c>
      <c r="G181">
        <f>+COUNTIF([1]movimientos!$I:$I,B181)</f>
        <v>0</v>
      </c>
    </row>
    <row r="182" spans="1:7" x14ac:dyDescent="0.2">
      <c r="A182" s="2">
        <v>45859</v>
      </c>
      <c r="B182" t="s">
        <v>212</v>
      </c>
      <c r="C182" t="s">
        <v>12</v>
      </c>
      <c r="D182" s="8">
        <v>393.14</v>
      </c>
      <c r="E182" s="8">
        <v>0</v>
      </c>
      <c r="F182" t="s">
        <v>13</v>
      </c>
      <c r="G182">
        <f>+COUNTIF([1]movimientos!$I:$I,B182)</f>
        <v>0</v>
      </c>
    </row>
    <row r="183" spans="1:7" x14ac:dyDescent="0.2">
      <c r="A183" s="2">
        <v>45860</v>
      </c>
      <c r="B183" t="s">
        <v>216</v>
      </c>
      <c r="C183" t="s">
        <v>12</v>
      </c>
      <c r="D183" s="8">
        <v>122.09</v>
      </c>
      <c r="E183" s="8">
        <v>0</v>
      </c>
      <c r="F183" t="s">
        <v>13</v>
      </c>
      <c r="G183">
        <f>+COUNTIF([1]movimientos!$I:$I,B183)</f>
        <v>0</v>
      </c>
    </row>
    <row r="184" spans="1:7" x14ac:dyDescent="0.2">
      <c r="A184" s="2">
        <v>45866</v>
      </c>
      <c r="B184" t="s">
        <v>281</v>
      </c>
      <c r="C184" t="s">
        <v>15</v>
      </c>
      <c r="D184" s="8">
        <v>0</v>
      </c>
      <c r="E184" s="8">
        <v>0.34</v>
      </c>
      <c r="F184" t="s">
        <v>16</v>
      </c>
      <c r="G184">
        <f>+COUNTIF([1]movimientos!$I:$I,B184)</f>
        <v>0</v>
      </c>
    </row>
    <row r="185" spans="1:7" x14ac:dyDescent="0.2">
      <c r="A185" s="2">
        <v>45866</v>
      </c>
      <c r="B185" t="s">
        <v>285</v>
      </c>
      <c r="C185" t="s">
        <v>15</v>
      </c>
      <c r="D185" s="8">
        <v>0</v>
      </c>
      <c r="E185" s="8">
        <v>0.34</v>
      </c>
      <c r="F185" t="s">
        <v>16</v>
      </c>
      <c r="G185">
        <f>+COUNTIF([1]movimientos!$I:$I,B185)</f>
        <v>0</v>
      </c>
    </row>
    <row r="186" spans="1:7" x14ac:dyDescent="0.2">
      <c r="A186" s="2">
        <v>45866</v>
      </c>
      <c r="B186" t="s">
        <v>287</v>
      </c>
      <c r="C186" t="s">
        <v>15</v>
      </c>
      <c r="D186" s="8">
        <v>0</v>
      </c>
      <c r="E186" s="8">
        <v>0.34</v>
      </c>
      <c r="F186" t="s">
        <v>16</v>
      </c>
      <c r="G186">
        <f>+COUNTIF([1]movimientos!$I:$I,B186)</f>
        <v>0</v>
      </c>
    </row>
    <row r="187" spans="1:7" x14ac:dyDescent="0.2">
      <c r="A187" s="2">
        <v>45861</v>
      </c>
      <c r="B187" t="s">
        <v>228</v>
      </c>
      <c r="C187" t="s">
        <v>12</v>
      </c>
      <c r="D187" s="8">
        <v>31.18</v>
      </c>
      <c r="E187" s="8">
        <v>0</v>
      </c>
      <c r="F187" t="s">
        <v>13</v>
      </c>
      <c r="G187">
        <f>+COUNTIF([1]movimientos!$I:$I,B187)</f>
        <v>0</v>
      </c>
    </row>
    <row r="188" spans="1:7" x14ac:dyDescent="0.2">
      <c r="A188" s="2">
        <v>45869</v>
      </c>
      <c r="B188" t="s">
        <v>334</v>
      </c>
      <c r="C188" t="s">
        <v>12</v>
      </c>
      <c r="D188" s="8">
        <v>622.04999999999995</v>
      </c>
      <c r="E188" s="8">
        <v>0</v>
      </c>
      <c r="F188" t="s">
        <v>13</v>
      </c>
      <c r="G188">
        <f>+COUNTIF([1]movimientos!$I:$I,B188)</f>
        <v>0</v>
      </c>
    </row>
    <row r="189" spans="1:7" x14ac:dyDescent="0.2">
      <c r="A189" s="2">
        <v>45848</v>
      </c>
      <c r="B189" t="s">
        <v>116</v>
      </c>
      <c r="C189" t="s">
        <v>12</v>
      </c>
      <c r="D189" s="8">
        <v>76.25</v>
      </c>
      <c r="E189" s="8">
        <v>0</v>
      </c>
      <c r="F189" t="s">
        <v>54</v>
      </c>
      <c r="G189">
        <f>+COUNTIF([1]movimientos!$I:$I,B189)</f>
        <v>0</v>
      </c>
    </row>
    <row r="190" spans="1:7" x14ac:dyDescent="0.2">
      <c r="A190" s="2">
        <v>45866</v>
      </c>
      <c r="B190" t="s">
        <v>291</v>
      </c>
      <c r="C190" t="s">
        <v>15</v>
      </c>
      <c r="D190" s="8">
        <v>0</v>
      </c>
      <c r="E190" s="8">
        <v>0.34</v>
      </c>
      <c r="F190" t="s">
        <v>16</v>
      </c>
      <c r="G190">
        <f>+COUNTIF([1]movimientos!$I:$I,B190)</f>
        <v>0</v>
      </c>
    </row>
    <row r="191" spans="1:7" x14ac:dyDescent="0.2">
      <c r="A191" s="2">
        <v>45869</v>
      </c>
      <c r="B191" t="s">
        <v>338</v>
      </c>
      <c r="C191" t="s">
        <v>15</v>
      </c>
      <c r="D191" s="8">
        <v>0</v>
      </c>
      <c r="E191" s="8">
        <v>0.34</v>
      </c>
      <c r="F191" t="s">
        <v>16</v>
      </c>
      <c r="G191">
        <f>+COUNTIF([1]movimientos!$I:$I,B191)</f>
        <v>0</v>
      </c>
    </row>
    <row r="192" spans="1:7" x14ac:dyDescent="0.2">
      <c r="A192" s="2">
        <v>45869</v>
      </c>
      <c r="B192" t="s">
        <v>340</v>
      </c>
      <c r="C192" t="s">
        <v>15</v>
      </c>
      <c r="D192" s="8">
        <v>0</v>
      </c>
      <c r="E192" s="8">
        <v>0.34</v>
      </c>
      <c r="F192" t="s">
        <v>16</v>
      </c>
      <c r="G192">
        <f>+COUNTIF([1]movimientos!$I:$I,B192)</f>
        <v>0</v>
      </c>
    </row>
    <row r="193" spans="1:7" x14ac:dyDescent="0.2">
      <c r="A193" s="2">
        <v>45849</v>
      </c>
      <c r="B193" t="s">
        <v>120</v>
      </c>
      <c r="C193" t="s">
        <v>12</v>
      </c>
      <c r="D193" s="8">
        <v>35.229999999999997</v>
      </c>
      <c r="E193" s="8">
        <v>0</v>
      </c>
      <c r="F193" t="s">
        <v>54</v>
      </c>
      <c r="G193">
        <f>+COUNTIF([1]movimientos!$I:$I,B193)</f>
        <v>0</v>
      </c>
    </row>
    <row r="194" spans="1:7" x14ac:dyDescent="0.2">
      <c r="A194" s="2">
        <v>45861</v>
      </c>
      <c r="B194" t="s">
        <v>230</v>
      </c>
      <c r="C194" t="s">
        <v>12</v>
      </c>
      <c r="D194" s="8">
        <v>240</v>
      </c>
      <c r="E194" s="8">
        <v>0</v>
      </c>
      <c r="F194" t="s">
        <v>54</v>
      </c>
      <c r="G194">
        <f>+COUNTIF([1]movimientos!$I:$I,B194)</f>
        <v>0</v>
      </c>
    </row>
    <row r="195" spans="1:7" x14ac:dyDescent="0.2">
      <c r="A195" s="2">
        <v>45863</v>
      </c>
      <c r="B195" t="s">
        <v>260</v>
      </c>
      <c r="C195" t="s">
        <v>12</v>
      </c>
      <c r="D195" s="8">
        <v>156.61000000000001</v>
      </c>
      <c r="E195" s="8">
        <v>0</v>
      </c>
      <c r="F195" t="s">
        <v>54</v>
      </c>
      <c r="G195">
        <f>+COUNTIF([1]movimientos!$I:$I,B195)</f>
        <v>0</v>
      </c>
    </row>
    <row r="196" spans="1:7" x14ac:dyDescent="0.2">
      <c r="A196" s="2">
        <v>45867</v>
      </c>
      <c r="B196" t="s">
        <v>298</v>
      </c>
      <c r="C196" t="s">
        <v>12</v>
      </c>
      <c r="D196" s="8">
        <v>13</v>
      </c>
      <c r="E196" s="8">
        <v>0</v>
      </c>
      <c r="F196" t="s">
        <v>54</v>
      </c>
      <c r="G196">
        <f>+COUNTIF([1]movimientos!$I:$I,B196)</f>
        <v>0</v>
      </c>
    </row>
    <row r="197" spans="1:7" x14ac:dyDescent="0.2">
      <c r="A197" s="2">
        <v>45845</v>
      </c>
      <c r="B197" t="s">
        <v>60</v>
      </c>
      <c r="C197" t="s">
        <v>61</v>
      </c>
      <c r="D197" s="8">
        <v>0</v>
      </c>
      <c r="E197" s="8">
        <v>0.2</v>
      </c>
      <c r="F197" t="s">
        <v>16</v>
      </c>
      <c r="G197">
        <f>+COUNTIF([1]movimientos!$I:$I,B197)</f>
        <v>0</v>
      </c>
    </row>
    <row r="198" spans="1:7" x14ac:dyDescent="0.2">
      <c r="A198" s="2">
        <v>45845</v>
      </c>
      <c r="B198" t="s">
        <v>64</v>
      </c>
      <c r="C198" t="s">
        <v>61</v>
      </c>
      <c r="D198" s="8">
        <v>0</v>
      </c>
      <c r="E198" s="8">
        <v>0.2</v>
      </c>
      <c r="F198" t="s">
        <v>16</v>
      </c>
      <c r="G198">
        <f>+COUNTIF([1]movimientos!$I:$I,B198)</f>
        <v>0</v>
      </c>
    </row>
    <row r="199" spans="1:7" x14ac:dyDescent="0.2">
      <c r="A199" s="2">
        <v>45849</v>
      </c>
      <c r="B199" t="s">
        <v>125</v>
      </c>
      <c r="C199" t="s">
        <v>61</v>
      </c>
      <c r="D199" s="8">
        <v>0</v>
      </c>
      <c r="E199" s="8">
        <v>0.2</v>
      </c>
      <c r="F199" t="s">
        <v>16</v>
      </c>
      <c r="G199">
        <f>+COUNTIF([1]movimientos!$I:$I,B199)</f>
        <v>0</v>
      </c>
    </row>
    <row r="200" spans="1:7" x14ac:dyDescent="0.2">
      <c r="A200" s="2">
        <v>45867</v>
      </c>
      <c r="B200" t="s">
        <v>301</v>
      </c>
      <c r="C200" t="s">
        <v>12</v>
      </c>
      <c r="D200" s="8">
        <v>46</v>
      </c>
      <c r="E200" s="8">
        <v>0</v>
      </c>
      <c r="F200" t="s">
        <v>54</v>
      </c>
      <c r="G200">
        <f>+COUNTIF([1]movimientos!$I:$I,B200)</f>
        <v>0</v>
      </c>
    </row>
    <row r="201" spans="1:7" x14ac:dyDescent="0.2">
      <c r="A201" s="2">
        <v>45869</v>
      </c>
      <c r="B201" t="s">
        <v>343</v>
      </c>
      <c r="C201" t="s">
        <v>12</v>
      </c>
      <c r="D201" s="8">
        <v>35</v>
      </c>
      <c r="E201" s="8">
        <v>0</v>
      </c>
      <c r="F201" t="s">
        <v>54</v>
      </c>
      <c r="G201">
        <f>+COUNTIF([1]movimientos!$I:$I,B201)</f>
        <v>0</v>
      </c>
    </row>
    <row r="202" spans="1:7" x14ac:dyDescent="0.2">
      <c r="A202" s="2">
        <v>45853</v>
      </c>
      <c r="B202" t="s">
        <v>166</v>
      </c>
      <c r="C202" t="s">
        <v>9</v>
      </c>
      <c r="D202" s="8">
        <v>150</v>
      </c>
      <c r="E202" s="8">
        <v>0</v>
      </c>
      <c r="F202" t="s">
        <v>54</v>
      </c>
      <c r="G202">
        <f>+COUNTIF([1]movimientos!$I:$I,B202)</f>
        <v>0</v>
      </c>
    </row>
    <row r="203" spans="1:7" x14ac:dyDescent="0.2">
      <c r="A203" s="2">
        <v>45840</v>
      </c>
      <c r="B203" t="s">
        <v>14</v>
      </c>
      <c r="C203" t="s">
        <v>18</v>
      </c>
      <c r="D203" s="8">
        <v>0</v>
      </c>
      <c r="E203" s="8">
        <v>860.31</v>
      </c>
      <c r="G203">
        <f>+COUNTIF([1]movimientos!$I:$I,B203)</f>
        <v>0</v>
      </c>
    </row>
    <row r="204" spans="1:7" x14ac:dyDescent="0.2">
      <c r="A204" s="2">
        <v>45840</v>
      </c>
      <c r="B204" t="s">
        <v>19</v>
      </c>
      <c r="C204" t="s">
        <v>18</v>
      </c>
      <c r="D204" s="8">
        <v>0</v>
      </c>
      <c r="E204" s="8">
        <v>200</v>
      </c>
      <c r="G204">
        <f>+COUNTIF([1]movimientos!$I:$I,B204)</f>
        <v>0</v>
      </c>
    </row>
    <row r="205" spans="1:7" x14ac:dyDescent="0.2">
      <c r="A205" s="2">
        <v>45842</v>
      </c>
      <c r="B205" t="s">
        <v>41</v>
      </c>
      <c r="C205" t="s">
        <v>42</v>
      </c>
      <c r="D205" s="8">
        <v>0</v>
      </c>
      <c r="E205" s="8">
        <v>0.27</v>
      </c>
      <c r="G205">
        <f>+COUNTIF([1]movimientos!$I:$I,B205)</f>
        <v>0</v>
      </c>
    </row>
    <row r="206" spans="1:7" x14ac:dyDescent="0.2">
      <c r="A206" s="2">
        <v>45863</v>
      </c>
      <c r="B206" t="s">
        <v>247</v>
      </c>
      <c r="C206" t="s">
        <v>9</v>
      </c>
      <c r="D206" s="8">
        <v>200</v>
      </c>
      <c r="E206" s="8">
        <v>0</v>
      </c>
      <c r="F206" t="s">
        <v>54</v>
      </c>
      <c r="G206">
        <f>+COUNTIF([1]movimientos!$I:$I,B206)</f>
        <v>0</v>
      </c>
    </row>
    <row r="207" spans="1:7" x14ac:dyDescent="0.2">
      <c r="A207" s="2">
        <v>45852</v>
      </c>
      <c r="B207" t="s">
        <v>142</v>
      </c>
      <c r="C207" t="s">
        <v>9</v>
      </c>
      <c r="D207" s="8">
        <v>12.5</v>
      </c>
      <c r="E207" s="8">
        <v>0</v>
      </c>
      <c r="F207" t="s">
        <v>143</v>
      </c>
      <c r="G207">
        <f>+COUNTIF([1]movimientos!$I:$I,B207)</f>
        <v>0</v>
      </c>
    </row>
    <row r="208" spans="1:7" x14ac:dyDescent="0.2">
      <c r="A208" s="2">
        <v>45868</v>
      </c>
      <c r="B208" t="s">
        <v>320</v>
      </c>
      <c r="C208" t="s">
        <v>9</v>
      </c>
      <c r="D208" s="8">
        <v>15.53</v>
      </c>
      <c r="E208" s="8">
        <v>0</v>
      </c>
      <c r="F208" t="s">
        <v>321</v>
      </c>
      <c r="G208">
        <f>+COUNTIF([1]movimientos!$I:$I,B208)</f>
        <v>0</v>
      </c>
    </row>
    <row r="209" spans="1:7" x14ac:dyDescent="0.2">
      <c r="A209" s="2">
        <v>45848</v>
      </c>
      <c r="B209" t="s">
        <v>113</v>
      </c>
      <c r="C209" t="s">
        <v>9</v>
      </c>
      <c r="D209" s="8">
        <v>53.82</v>
      </c>
      <c r="E209" s="8">
        <v>0</v>
      </c>
      <c r="F209" t="s">
        <v>114</v>
      </c>
      <c r="G209">
        <f>+COUNTIF([1]movimientos!$I:$I,B209)</f>
        <v>0</v>
      </c>
    </row>
    <row r="210" spans="1:7" x14ac:dyDescent="0.2">
      <c r="A210" s="2">
        <v>45842</v>
      </c>
      <c r="B210" t="s">
        <v>43</v>
      </c>
      <c r="C210" t="s">
        <v>44</v>
      </c>
      <c r="D210" s="8">
        <v>0</v>
      </c>
      <c r="E210" s="8">
        <v>0.04</v>
      </c>
      <c r="G210">
        <f>+COUNTIF([1]movimientos!$I:$I,B210)</f>
        <v>0</v>
      </c>
    </row>
    <row r="211" spans="1:7" x14ac:dyDescent="0.2">
      <c r="A211" s="2">
        <v>45845</v>
      </c>
      <c r="B211" t="s">
        <v>60</v>
      </c>
      <c r="C211" t="s">
        <v>63</v>
      </c>
      <c r="D211" s="8">
        <v>0</v>
      </c>
      <c r="E211" s="8">
        <v>5.46</v>
      </c>
      <c r="G211">
        <f>+COUNTIF([1]movimientos!$I:$I,B211)</f>
        <v>0</v>
      </c>
    </row>
    <row r="212" spans="1:7" x14ac:dyDescent="0.2">
      <c r="A212" s="2">
        <v>45845</v>
      </c>
      <c r="B212" t="s">
        <v>64</v>
      </c>
      <c r="C212" t="s">
        <v>63</v>
      </c>
      <c r="D212" s="8">
        <v>0</v>
      </c>
      <c r="E212" s="8">
        <v>5.46</v>
      </c>
      <c r="G212">
        <f>+COUNTIF([1]movimientos!$I:$I,B212)</f>
        <v>0</v>
      </c>
    </row>
    <row r="213" spans="1:7" x14ac:dyDescent="0.2">
      <c r="A213" s="2">
        <v>45845</v>
      </c>
      <c r="B213" t="s">
        <v>65</v>
      </c>
      <c r="C213" t="s">
        <v>67</v>
      </c>
      <c r="D213" s="8">
        <v>0</v>
      </c>
      <c r="E213" s="8">
        <v>15.09</v>
      </c>
      <c r="G213">
        <f>+COUNTIF([1]movimientos!$I:$I,B213)</f>
        <v>0</v>
      </c>
    </row>
    <row r="214" spans="1:7" x14ac:dyDescent="0.2">
      <c r="A214" s="2">
        <v>45845</v>
      </c>
      <c r="B214" t="s">
        <v>68</v>
      </c>
      <c r="C214" t="s">
        <v>67</v>
      </c>
      <c r="D214" s="8">
        <v>0</v>
      </c>
      <c r="E214" s="8">
        <v>10.58</v>
      </c>
      <c r="G214">
        <f>+COUNTIF([1]movimientos!$I:$I,B214)</f>
        <v>0</v>
      </c>
    </row>
    <row r="215" spans="1:7" x14ac:dyDescent="0.2">
      <c r="A215" s="2">
        <v>45848</v>
      </c>
      <c r="B215" t="s">
        <v>115</v>
      </c>
      <c r="C215" t="s">
        <v>9</v>
      </c>
      <c r="D215" s="8">
        <v>53.82</v>
      </c>
      <c r="E215" s="8">
        <v>0</v>
      </c>
      <c r="F215" t="s">
        <v>114</v>
      </c>
      <c r="G215">
        <f>+COUNTIF([1]movimientos!$I:$I,B215)</f>
        <v>0</v>
      </c>
    </row>
    <row r="216" spans="1:7" x14ac:dyDescent="0.2">
      <c r="A216" s="2">
        <v>45845</v>
      </c>
      <c r="B216" t="s">
        <v>69</v>
      </c>
      <c r="C216" t="s">
        <v>67</v>
      </c>
      <c r="D216" s="8">
        <v>0</v>
      </c>
      <c r="E216" s="8">
        <v>19.489999999999998</v>
      </c>
      <c r="G216">
        <f>+COUNTIF([1]movimientos!$I:$I,B216)</f>
        <v>0</v>
      </c>
    </row>
    <row r="217" spans="1:7" x14ac:dyDescent="0.2">
      <c r="A217" s="2">
        <v>45849</v>
      </c>
      <c r="B217" t="s">
        <v>117</v>
      </c>
      <c r="C217" t="s">
        <v>18</v>
      </c>
      <c r="D217" s="8">
        <v>0</v>
      </c>
      <c r="E217" s="8">
        <v>322.54000000000002</v>
      </c>
      <c r="G217">
        <f>+COUNTIF([1]movimientos!$I:$I,B217)</f>
        <v>0</v>
      </c>
    </row>
    <row r="218" spans="1:7" x14ac:dyDescent="0.2">
      <c r="A218" s="2">
        <v>45849</v>
      </c>
      <c r="B218" t="s">
        <v>125</v>
      </c>
      <c r="C218" t="s">
        <v>63</v>
      </c>
      <c r="D218" s="8">
        <v>0</v>
      </c>
      <c r="E218" s="8">
        <v>762.14</v>
      </c>
      <c r="G218">
        <f>+COUNTIF([1]movimientos!$I:$I,B218)</f>
        <v>0</v>
      </c>
    </row>
    <row r="219" spans="1:7" x14ac:dyDescent="0.2">
      <c r="A219" s="2">
        <v>45852</v>
      </c>
      <c r="B219" t="s">
        <v>138</v>
      </c>
      <c r="C219" t="s">
        <v>139</v>
      </c>
      <c r="D219" s="8">
        <v>0</v>
      </c>
      <c r="E219" s="8">
        <v>0.27</v>
      </c>
      <c r="G219">
        <f>+COUNTIF([1]movimientos!$I:$I,B219)</f>
        <v>0</v>
      </c>
    </row>
    <row r="220" spans="1:7" x14ac:dyDescent="0.2">
      <c r="A220" s="2">
        <v>45852</v>
      </c>
      <c r="B220" t="s">
        <v>140</v>
      </c>
      <c r="C220" t="s">
        <v>44</v>
      </c>
      <c r="D220" s="8">
        <v>0</v>
      </c>
      <c r="E220" s="8">
        <v>0.04</v>
      </c>
      <c r="G220">
        <f>+COUNTIF([1]movimientos!$I:$I,B220)</f>
        <v>0</v>
      </c>
    </row>
    <row r="221" spans="1:7" x14ac:dyDescent="0.2">
      <c r="A221" s="2">
        <v>45852</v>
      </c>
      <c r="B221" t="s">
        <v>141</v>
      </c>
      <c r="C221" t="s">
        <v>18</v>
      </c>
      <c r="D221" s="8">
        <v>0</v>
      </c>
      <c r="E221" s="8">
        <v>296.32</v>
      </c>
      <c r="G221">
        <f>+COUNTIF([1]movimientos!$I:$I,B221)</f>
        <v>0</v>
      </c>
    </row>
    <row r="222" spans="1:7" x14ac:dyDescent="0.2">
      <c r="A222" s="2">
        <v>45866</v>
      </c>
      <c r="B222" t="s">
        <v>264</v>
      </c>
      <c r="C222" t="s">
        <v>265</v>
      </c>
      <c r="D222" s="8">
        <v>0</v>
      </c>
      <c r="E222" s="8">
        <v>0.27</v>
      </c>
      <c r="G222">
        <f>+COUNTIF([1]movimientos!$I:$I,B222)</f>
        <v>0</v>
      </c>
    </row>
    <row r="223" spans="1:7" x14ac:dyDescent="0.2">
      <c r="A223" s="2">
        <v>45866</v>
      </c>
      <c r="B223" t="s">
        <v>266</v>
      </c>
      <c r="C223" t="s">
        <v>44</v>
      </c>
      <c r="D223" s="8">
        <v>0</v>
      </c>
      <c r="E223" s="8">
        <v>0.04</v>
      </c>
      <c r="G223">
        <f>+COUNTIF([1]movimientos!$I:$I,B223)</f>
        <v>0</v>
      </c>
    </row>
    <row r="224" spans="1:7" x14ac:dyDescent="0.2">
      <c r="A224" s="2">
        <v>45866</v>
      </c>
      <c r="B224" t="s">
        <v>269</v>
      </c>
      <c r="C224" t="s">
        <v>270</v>
      </c>
      <c r="D224" s="8">
        <v>0</v>
      </c>
      <c r="E224" s="8">
        <v>0.27</v>
      </c>
      <c r="G224">
        <f>+COUNTIF([1]movimientos!$I:$I,B224)</f>
        <v>0</v>
      </c>
    </row>
    <row r="225" spans="1:7" x14ac:dyDescent="0.2">
      <c r="A225" s="2">
        <v>45849</v>
      </c>
      <c r="B225" t="s">
        <v>130</v>
      </c>
      <c r="C225" t="s">
        <v>9</v>
      </c>
      <c r="D225" s="8">
        <v>4.13</v>
      </c>
      <c r="E225" s="8">
        <v>0</v>
      </c>
      <c r="F225" t="s">
        <v>114</v>
      </c>
      <c r="G225">
        <f>+COUNTIF([1]movimientos!$I:$I,B225)</f>
        <v>0</v>
      </c>
    </row>
    <row r="226" spans="1:7" x14ac:dyDescent="0.2">
      <c r="A226" s="2">
        <v>45868</v>
      </c>
      <c r="B226" t="s">
        <v>326</v>
      </c>
      <c r="C226" t="s">
        <v>9</v>
      </c>
      <c r="D226" s="8">
        <v>2.2999999999999998</v>
      </c>
      <c r="E226" s="8">
        <v>0</v>
      </c>
      <c r="F226" t="s">
        <v>327</v>
      </c>
      <c r="G226">
        <f>+COUNTIF([1]movimientos!$I:$I,B226)</f>
        <v>0</v>
      </c>
    </row>
    <row r="227" spans="1:7" x14ac:dyDescent="0.2">
      <c r="A227" s="2">
        <v>45849</v>
      </c>
      <c r="B227" t="s">
        <v>123</v>
      </c>
      <c r="C227" t="s">
        <v>9</v>
      </c>
      <c r="D227" s="8">
        <v>25.88</v>
      </c>
      <c r="E227" s="8">
        <v>0</v>
      </c>
      <c r="F227" t="s">
        <v>124</v>
      </c>
      <c r="G227">
        <f>+COUNTIF([1]movimientos!$I:$I,B227)</f>
        <v>0</v>
      </c>
    </row>
    <row r="228" spans="1:7" x14ac:dyDescent="0.2">
      <c r="A228" s="2">
        <v>45859</v>
      </c>
      <c r="B228" t="s">
        <v>208</v>
      </c>
      <c r="C228" t="s">
        <v>9</v>
      </c>
      <c r="D228" s="8">
        <v>4</v>
      </c>
      <c r="E228" s="8">
        <v>0</v>
      </c>
      <c r="F228" t="s">
        <v>209</v>
      </c>
      <c r="G228">
        <f>+COUNTIF([1]movimientos!$I:$I,B228)</f>
        <v>0</v>
      </c>
    </row>
    <row r="229" spans="1:7" x14ac:dyDescent="0.2">
      <c r="A229" s="2">
        <v>45868</v>
      </c>
      <c r="B229" t="s">
        <v>316</v>
      </c>
      <c r="C229" t="s">
        <v>9</v>
      </c>
      <c r="D229" s="8">
        <v>56.93</v>
      </c>
      <c r="E229" s="8">
        <v>0</v>
      </c>
      <c r="F229" t="s">
        <v>317</v>
      </c>
      <c r="G229">
        <f>+COUNTIF([1]movimientos!$I:$I,B229)</f>
        <v>0</v>
      </c>
    </row>
    <row r="230" spans="1:7" x14ac:dyDescent="0.2">
      <c r="A230" s="2">
        <v>45863</v>
      </c>
      <c r="B230" t="s">
        <v>248</v>
      </c>
      <c r="C230" t="s">
        <v>9</v>
      </c>
      <c r="D230" s="8">
        <v>126</v>
      </c>
      <c r="E230" s="8">
        <v>0</v>
      </c>
      <c r="F230" t="s">
        <v>249</v>
      </c>
      <c r="G230">
        <f>+COUNTIF([1]movimientos!$I:$I,B230)</f>
        <v>0</v>
      </c>
    </row>
    <row r="231" spans="1:7" x14ac:dyDescent="0.2">
      <c r="A231" s="2">
        <v>45846</v>
      </c>
      <c r="B231" t="s">
        <v>74</v>
      </c>
      <c r="C231" t="s">
        <v>9</v>
      </c>
      <c r="D231" s="8">
        <v>8</v>
      </c>
      <c r="E231" s="8">
        <v>0</v>
      </c>
      <c r="F231" t="s">
        <v>75</v>
      </c>
      <c r="G231">
        <f>+COUNTIF([1]movimientos!$I:$I,B231)</f>
        <v>0</v>
      </c>
    </row>
    <row r="232" spans="1:7" x14ac:dyDescent="0.2">
      <c r="A232" s="2">
        <v>45849</v>
      </c>
      <c r="B232" t="s">
        <v>128</v>
      </c>
      <c r="C232" t="s">
        <v>9</v>
      </c>
      <c r="D232" s="8">
        <v>8.74</v>
      </c>
      <c r="E232" s="8">
        <v>0</v>
      </c>
      <c r="F232" t="s">
        <v>129</v>
      </c>
      <c r="G232">
        <f>+COUNTIF([1]movimientos!$I:$I,B232)</f>
        <v>0</v>
      </c>
    </row>
    <row r="233" spans="1:7" x14ac:dyDescent="0.2">
      <c r="A233" s="2">
        <v>45869</v>
      </c>
      <c r="B233" t="s">
        <v>332</v>
      </c>
      <c r="C233" t="s">
        <v>9</v>
      </c>
      <c r="D233" s="8">
        <v>1.55</v>
      </c>
      <c r="E233" s="8">
        <v>0</v>
      </c>
      <c r="F233" t="s">
        <v>333</v>
      </c>
      <c r="G233">
        <f>+COUNTIF([1]movimientos!$I:$I,B233)</f>
        <v>0</v>
      </c>
    </row>
    <row r="234" spans="1:7" x14ac:dyDescent="0.2">
      <c r="A234" s="2">
        <v>45854</v>
      </c>
      <c r="B234" t="s">
        <v>179</v>
      </c>
      <c r="C234" t="s">
        <v>9</v>
      </c>
      <c r="D234" s="8">
        <v>13.8</v>
      </c>
      <c r="E234" s="8">
        <v>0</v>
      </c>
      <c r="F234" t="s">
        <v>180</v>
      </c>
      <c r="G234">
        <f>+COUNTIF([1]movimientos!$I:$I,B234)</f>
        <v>0</v>
      </c>
    </row>
    <row r="235" spans="1:7" x14ac:dyDescent="0.2">
      <c r="A235" s="2">
        <v>45866</v>
      </c>
      <c r="B235" t="s">
        <v>271</v>
      </c>
      <c r="C235" t="s">
        <v>44</v>
      </c>
      <c r="D235" s="8">
        <v>0</v>
      </c>
      <c r="E235" s="8">
        <v>0.04</v>
      </c>
      <c r="G235">
        <f>+COUNTIF([1]movimientos!$I:$I,B235)</f>
        <v>0</v>
      </c>
    </row>
    <row r="236" spans="1:7" x14ac:dyDescent="0.2">
      <c r="A236" s="2">
        <v>45866</v>
      </c>
      <c r="B236" t="s">
        <v>281</v>
      </c>
      <c r="C236" t="s">
        <v>18</v>
      </c>
      <c r="D236" s="8">
        <v>0</v>
      </c>
      <c r="E236" s="8">
        <v>400</v>
      </c>
      <c r="G236">
        <f>+COUNTIF([1]movimientos!$I:$I,B236)</f>
        <v>0</v>
      </c>
    </row>
    <row r="237" spans="1:7" x14ac:dyDescent="0.2">
      <c r="A237" s="2">
        <v>45866</v>
      </c>
      <c r="B237" t="s">
        <v>285</v>
      </c>
      <c r="C237" t="s">
        <v>18</v>
      </c>
      <c r="D237" s="8">
        <v>0</v>
      </c>
      <c r="E237" s="8">
        <v>400</v>
      </c>
      <c r="G237">
        <f>+COUNTIF([1]movimientos!$I:$I,B237)</f>
        <v>0</v>
      </c>
    </row>
    <row r="238" spans="1:7" x14ac:dyDescent="0.2">
      <c r="A238" s="2">
        <v>45866</v>
      </c>
      <c r="B238" t="s">
        <v>287</v>
      </c>
      <c r="C238" t="s">
        <v>18</v>
      </c>
      <c r="D238" s="8">
        <v>0</v>
      </c>
      <c r="E238" s="8">
        <v>400</v>
      </c>
      <c r="G238">
        <f>+COUNTIF([1]movimientos!$I:$I,B238)</f>
        <v>0</v>
      </c>
    </row>
    <row r="239" spans="1:7" x14ac:dyDescent="0.2">
      <c r="A239" s="2">
        <v>45847</v>
      </c>
      <c r="B239" t="s">
        <v>92</v>
      </c>
      <c r="C239" t="s">
        <v>9</v>
      </c>
      <c r="D239" s="8">
        <v>4</v>
      </c>
      <c r="E239" s="8">
        <v>0</v>
      </c>
      <c r="F239" t="s">
        <v>93</v>
      </c>
      <c r="G239">
        <f>+COUNTIF([1]movimientos!$I:$I,B239)</f>
        <v>0</v>
      </c>
    </row>
    <row r="240" spans="1:7" x14ac:dyDescent="0.2">
      <c r="A240" s="2">
        <v>45849</v>
      </c>
      <c r="B240" t="s">
        <v>131</v>
      </c>
      <c r="C240" t="s">
        <v>9</v>
      </c>
      <c r="D240" s="8">
        <v>9.3699999999999992</v>
      </c>
      <c r="E240" s="8">
        <v>0</v>
      </c>
      <c r="F240" t="s">
        <v>132</v>
      </c>
      <c r="G240">
        <f>+COUNTIF([1]movimientos!$I:$I,B240)</f>
        <v>0</v>
      </c>
    </row>
    <row r="241" spans="1:7" x14ac:dyDescent="0.2">
      <c r="A241" s="2">
        <v>45853</v>
      </c>
      <c r="B241" t="s">
        <v>164</v>
      </c>
      <c r="C241" t="s">
        <v>9</v>
      </c>
      <c r="D241" s="8">
        <v>4.5999999999999996</v>
      </c>
      <c r="E241" s="8">
        <v>0</v>
      </c>
      <c r="F241" t="s">
        <v>165</v>
      </c>
      <c r="G241">
        <f>+COUNTIF([1]movimientos!$I:$I,B241)</f>
        <v>0</v>
      </c>
    </row>
    <row r="242" spans="1:7" x14ac:dyDescent="0.2">
      <c r="A242" s="2">
        <v>45866</v>
      </c>
      <c r="B242" t="s">
        <v>291</v>
      </c>
      <c r="C242" t="s">
        <v>18</v>
      </c>
      <c r="D242" s="8">
        <v>0</v>
      </c>
      <c r="E242" s="8">
        <v>400</v>
      </c>
      <c r="G242">
        <f>+COUNTIF([1]movimientos!$I:$I,B242)</f>
        <v>0</v>
      </c>
    </row>
    <row r="243" spans="1:7" x14ac:dyDescent="0.2">
      <c r="A243" s="2">
        <v>45869</v>
      </c>
      <c r="B243" t="s">
        <v>338</v>
      </c>
      <c r="C243" t="s">
        <v>18</v>
      </c>
      <c r="D243" s="8">
        <v>0</v>
      </c>
      <c r="E243" s="8">
        <v>300</v>
      </c>
      <c r="G243">
        <f>+COUNTIF([1]movimientos!$I:$I,B243)</f>
        <v>0</v>
      </c>
    </row>
    <row r="244" spans="1:7" x14ac:dyDescent="0.2">
      <c r="A244" s="2">
        <v>45869</v>
      </c>
      <c r="B244" t="s">
        <v>340</v>
      </c>
      <c r="C244" t="s">
        <v>18</v>
      </c>
      <c r="D244" s="8">
        <v>0</v>
      </c>
      <c r="E244" s="8">
        <v>300</v>
      </c>
      <c r="G244">
        <f>+COUNTIF([1]movimientos!$I:$I,B244)</f>
        <v>0</v>
      </c>
    </row>
    <row r="245" spans="1:7" x14ac:dyDescent="0.2">
      <c r="A245" s="2">
        <v>45847</v>
      </c>
      <c r="B245" t="s">
        <v>90</v>
      </c>
      <c r="C245" t="s">
        <v>9</v>
      </c>
      <c r="D245" s="8">
        <v>9.5</v>
      </c>
      <c r="E245" s="8">
        <v>0</v>
      </c>
      <c r="F245" t="s">
        <v>91</v>
      </c>
      <c r="G245">
        <f>+COUNTIF([1]movimientos!$I:$I,B245)</f>
        <v>0</v>
      </c>
    </row>
    <row r="246" spans="1:7" x14ac:dyDescent="0.2">
      <c r="A246" s="2">
        <v>45852</v>
      </c>
      <c r="B246" t="s">
        <v>156</v>
      </c>
      <c r="C246" t="s">
        <v>9</v>
      </c>
      <c r="D246" s="8">
        <v>9.1999999999999993</v>
      </c>
      <c r="E246" s="8">
        <v>0</v>
      </c>
      <c r="F246" t="s">
        <v>91</v>
      </c>
      <c r="G246">
        <f>+COUNTIF([1]movimientos!$I:$I,B246)</f>
        <v>0</v>
      </c>
    </row>
    <row r="247" spans="1:7" x14ac:dyDescent="0.2">
      <c r="A247" s="2">
        <v>45854</v>
      </c>
      <c r="B247" t="s">
        <v>181</v>
      </c>
      <c r="C247" t="s">
        <v>9</v>
      </c>
      <c r="D247" s="8">
        <v>34.5</v>
      </c>
      <c r="E247" s="8">
        <v>0</v>
      </c>
      <c r="F247" t="s">
        <v>182</v>
      </c>
      <c r="G247">
        <f>+COUNTIF([1]movimientos!$I:$I,B247)</f>
        <v>0</v>
      </c>
    </row>
    <row r="248" spans="1:7" x14ac:dyDescent="0.2">
      <c r="A248" s="3">
        <v>45840</v>
      </c>
      <c r="B248" s="4" t="s">
        <v>24</v>
      </c>
      <c r="C248" s="4" t="s">
        <v>25</v>
      </c>
      <c r="D248" s="9">
        <v>62.1</v>
      </c>
      <c r="E248" s="9">
        <v>0</v>
      </c>
      <c r="F248" s="4" t="s">
        <v>13</v>
      </c>
      <c r="G248">
        <f>+COUNTIF([1]movimientos!$I:$I,B248)</f>
        <v>0</v>
      </c>
    </row>
    <row r="249" spans="1:7" x14ac:dyDescent="0.2">
      <c r="A249" s="5">
        <v>45845</v>
      </c>
      <c r="B249" s="6" t="s">
        <v>55</v>
      </c>
      <c r="C249" s="6" t="s">
        <v>56</v>
      </c>
      <c r="D249" s="10">
        <v>0</v>
      </c>
      <c r="E249" s="10">
        <v>100</v>
      </c>
      <c r="F249" s="6"/>
      <c r="G249">
        <f>+COUNTIF([1]movimientos!$I:$I,B249)</f>
        <v>0</v>
      </c>
    </row>
    <row r="250" spans="1:7" x14ac:dyDescent="0.2">
      <c r="A250" s="3">
        <v>45845</v>
      </c>
      <c r="B250" s="4" t="s">
        <v>57</v>
      </c>
      <c r="C250" s="4" t="s">
        <v>25</v>
      </c>
      <c r="D250" s="9">
        <v>14.49</v>
      </c>
      <c r="E250" s="9">
        <v>0</v>
      </c>
      <c r="F250" s="4" t="s">
        <v>13</v>
      </c>
      <c r="G250">
        <f>+COUNTIF([1]movimientos!$I:$I,B250)</f>
        <v>0</v>
      </c>
    </row>
    <row r="251" spans="1:7" x14ac:dyDescent="0.2">
      <c r="A251" s="3">
        <v>45845</v>
      </c>
      <c r="B251" s="4" t="s">
        <v>58</v>
      </c>
      <c r="C251" s="4" t="s">
        <v>59</v>
      </c>
      <c r="D251" s="9">
        <v>504.09</v>
      </c>
      <c r="E251" s="9">
        <v>0</v>
      </c>
      <c r="F251" s="4" t="s">
        <v>13</v>
      </c>
      <c r="G251">
        <f>+COUNTIF([1]movimientos!$I:$I,B251)</f>
        <v>0</v>
      </c>
    </row>
    <row r="252" spans="1:7" x14ac:dyDescent="0.2">
      <c r="A252" s="5">
        <v>45847</v>
      </c>
      <c r="B252" s="6" t="s">
        <v>86</v>
      </c>
      <c r="C252" s="6" t="s">
        <v>87</v>
      </c>
      <c r="D252" s="10">
        <v>0</v>
      </c>
      <c r="E252" s="10">
        <v>62.92</v>
      </c>
      <c r="F252" s="6"/>
      <c r="G252">
        <f>+COUNTIF([1]movimientos!$I:$I,B252)</f>
        <v>0</v>
      </c>
    </row>
    <row r="253" spans="1:7" x14ac:dyDescent="0.2">
      <c r="A253" s="3">
        <v>45848</v>
      </c>
      <c r="B253" s="4" t="s">
        <v>107</v>
      </c>
      <c r="C253" s="4" t="s">
        <v>9</v>
      </c>
      <c r="D253" s="9">
        <v>0</v>
      </c>
      <c r="E253" s="9">
        <v>150</v>
      </c>
      <c r="F253" s="4" t="s">
        <v>108</v>
      </c>
      <c r="G253">
        <f>+COUNTIF([1]movimientos!$I:$I,B253)</f>
        <v>0</v>
      </c>
    </row>
    <row r="254" spans="1:7" x14ac:dyDescent="0.2">
      <c r="A254" s="2">
        <v>45859</v>
      </c>
      <c r="B254" t="s">
        <v>201</v>
      </c>
      <c r="C254" t="s">
        <v>47</v>
      </c>
      <c r="D254" s="8">
        <v>0</v>
      </c>
      <c r="E254" s="8">
        <v>150</v>
      </c>
      <c r="F254" t="s">
        <v>50</v>
      </c>
      <c r="G254">
        <f>+COUNTIF([1]movimientos!$I:$I,B254)</f>
        <v>1</v>
      </c>
    </row>
    <row r="255" spans="1:7" x14ac:dyDescent="0.2">
      <c r="A255" s="5">
        <v>45852</v>
      </c>
      <c r="B255" s="6" t="s">
        <v>134</v>
      </c>
      <c r="C255" s="6" t="s">
        <v>56</v>
      </c>
      <c r="D255" s="10">
        <v>0</v>
      </c>
      <c r="E255" s="10">
        <v>100</v>
      </c>
      <c r="F255" s="6"/>
      <c r="G255">
        <f>+COUNTIF([1]movimientos!$I:$I,B255)</f>
        <v>0</v>
      </c>
    </row>
    <row r="256" spans="1:7" x14ac:dyDescent="0.2">
      <c r="A256" s="5">
        <v>45853</v>
      </c>
      <c r="B256" s="6" t="s">
        <v>162</v>
      </c>
      <c r="C256" s="6" t="s">
        <v>87</v>
      </c>
      <c r="D256" s="10">
        <v>0</v>
      </c>
      <c r="E256" s="10">
        <v>66.349999999999994</v>
      </c>
      <c r="F256" s="6"/>
      <c r="G256">
        <f>+COUNTIF([1]movimientos!$I:$I,B256)</f>
        <v>0</v>
      </c>
    </row>
    <row r="257" spans="1:7" x14ac:dyDescent="0.2">
      <c r="A257" s="5">
        <v>45853</v>
      </c>
      <c r="B257" s="6" t="s">
        <v>163</v>
      </c>
      <c r="C257" s="6" t="s">
        <v>87</v>
      </c>
      <c r="D257" s="10">
        <v>0</v>
      </c>
      <c r="E257" s="10">
        <v>120</v>
      </c>
      <c r="F257" s="6"/>
      <c r="G257">
        <f>+COUNTIF([1]movimientos!$I:$I,B257)</f>
        <v>0</v>
      </c>
    </row>
    <row r="258" spans="1:7" x14ac:dyDescent="0.2">
      <c r="A258" s="3">
        <v>45853</v>
      </c>
      <c r="B258" s="4" t="s">
        <v>175</v>
      </c>
      <c r="C258" s="4" t="s">
        <v>59</v>
      </c>
      <c r="D258" s="9">
        <v>246.65</v>
      </c>
      <c r="E258" s="9">
        <v>0</v>
      </c>
      <c r="F258" s="4" t="s">
        <v>13</v>
      </c>
      <c r="G258">
        <f>+COUNTIF([1]movimientos!$I:$I,B258)</f>
        <v>0</v>
      </c>
    </row>
    <row r="259" spans="1:7" x14ac:dyDescent="0.2">
      <c r="A259" s="5">
        <v>45859</v>
      </c>
      <c r="B259" s="6" t="s">
        <v>200</v>
      </c>
      <c r="C259" s="6" t="s">
        <v>87</v>
      </c>
      <c r="D259" s="10">
        <v>0</v>
      </c>
      <c r="E259" s="10">
        <v>120</v>
      </c>
      <c r="F259" s="6"/>
      <c r="G259">
        <f>+COUNTIF([1]movimientos!$I:$I,B259)</f>
        <v>0</v>
      </c>
    </row>
    <row r="260" spans="1:7" x14ac:dyDescent="0.2">
      <c r="A260" s="5">
        <v>45859</v>
      </c>
      <c r="B260" s="6" t="s">
        <v>202</v>
      </c>
      <c r="C260" s="6" t="s">
        <v>56</v>
      </c>
      <c r="D260" s="10">
        <v>0</v>
      </c>
      <c r="E260" s="10">
        <v>100</v>
      </c>
      <c r="F260" s="6"/>
      <c r="G260">
        <f>+COUNTIF([1]movimientos!$I:$I,B260)</f>
        <v>0</v>
      </c>
    </row>
    <row r="261" spans="1:7" x14ac:dyDescent="0.2">
      <c r="A261" s="3">
        <v>45859</v>
      </c>
      <c r="B261" s="4" t="s">
        <v>204</v>
      </c>
      <c r="C261" s="4" t="s">
        <v>25</v>
      </c>
      <c r="D261" s="9">
        <v>104.88</v>
      </c>
      <c r="E261" s="9">
        <v>0</v>
      </c>
      <c r="F261" s="4" t="s">
        <v>13</v>
      </c>
      <c r="G261">
        <f>+COUNTIF([1]movimientos!$I:$I,B261)</f>
        <v>0</v>
      </c>
    </row>
    <row r="262" spans="1:7" x14ac:dyDescent="0.2">
      <c r="A262" s="3">
        <v>45859</v>
      </c>
      <c r="B262" s="4" t="s">
        <v>205</v>
      </c>
      <c r="C262" s="4" t="s">
        <v>25</v>
      </c>
      <c r="D262" s="9">
        <v>120</v>
      </c>
      <c r="E262" s="9">
        <v>0</v>
      </c>
      <c r="F262" s="4" t="s">
        <v>13</v>
      </c>
      <c r="G262">
        <f>+COUNTIF([1]movimientos!$I:$I,B262)</f>
        <v>0</v>
      </c>
    </row>
    <row r="263" spans="1:7" x14ac:dyDescent="0.2">
      <c r="A263" s="5">
        <v>45859</v>
      </c>
      <c r="B263" s="6" t="s">
        <v>213</v>
      </c>
      <c r="C263" s="6" t="s">
        <v>56</v>
      </c>
      <c r="D263" s="10">
        <v>0</v>
      </c>
      <c r="E263" s="10">
        <v>120</v>
      </c>
      <c r="F263" s="6"/>
      <c r="G263">
        <f>+COUNTIF([1]movimientos!$I:$I,B263)</f>
        <v>0</v>
      </c>
    </row>
    <row r="264" spans="1:7" x14ac:dyDescent="0.2">
      <c r="A264" s="2">
        <v>45859</v>
      </c>
      <c r="B264" t="s">
        <v>201</v>
      </c>
      <c r="C264" t="s">
        <v>46</v>
      </c>
      <c r="D264" s="8">
        <v>0</v>
      </c>
      <c r="E264" s="8">
        <v>0.36</v>
      </c>
      <c r="F264" t="s">
        <v>16</v>
      </c>
      <c r="G264">
        <f>+COUNTIF([1]movimientos!$I:$I,B264)</f>
        <v>1</v>
      </c>
    </row>
    <row r="265" spans="1:7" x14ac:dyDescent="0.2">
      <c r="A265" s="3">
        <v>45861</v>
      </c>
      <c r="B265" s="4" t="s">
        <v>229</v>
      </c>
      <c r="C265" s="4" t="s">
        <v>9</v>
      </c>
      <c r="D265" s="9">
        <v>35</v>
      </c>
      <c r="E265" s="9">
        <v>0</v>
      </c>
      <c r="F265" s="4" t="s">
        <v>227</v>
      </c>
      <c r="G265">
        <f>+COUNTIF([1]movimientos!$I:$I,B265)</f>
        <v>0</v>
      </c>
    </row>
    <row r="266" spans="1:7" x14ac:dyDescent="0.2">
      <c r="A266" s="3">
        <v>45862</v>
      </c>
      <c r="B266" s="4" t="s">
        <v>240</v>
      </c>
      <c r="C266" s="4" t="s">
        <v>25</v>
      </c>
      <c r="D266" s="9">
        <v>15.52</v>
      </c>
      <c r="E266" s="9">
        <v>0</v>
      </c>
      <c r="F266" s="4" t="s">
        <v>13</v>
      </c>
      <c r="G266">
        <f>+COUNTIF([1]movimientos!$I:$I,B266)</f>
        <v>0</v>
      </c>
    </row>
    <row r="267" spans="1:7" x14ac:dyDescent="0.2">
      <c r="A267" s="3">
        <v>45862</v>
      </c>
      <c r="B267" s="4" t="s">
        <v>241</v>
      </c>
      <c r="C267" s="4" t="s">
        <v>25</v>
      </c>
      <c r="D267" s="9">
        <v>204.61</v>
      </c>
      <c r="E267" s="9">
        <v>0</v>
      </c>
      <c r="F267" s="4" t="s">
        <v>13</v>
      </c>
      <c r="G267">
        <f>+COUNTIF([1]movimientos!$I:$I,B267)</f>
        <v>0</v>
      </c>
    </row>
    <row r="268" spans="1:7" x14ac:dyDescent="0.2">
      <c r="A268" s="3">
        <v>45862</v>
      </c>
      <c r="B268" s="4" t="s">
        <v>242</v>
      </c>
      <c r="C268" s="4" t="s">
        <v>25</v>
      </c>
      <c r="D268" s="9">
        <v>125</v>
      </c>
      <c r="E268" s="9">
        <v>0</v>
      </c>
      <c r="F268" s="4" t="s">
        <v>13</v>
      </c>
      <c r="G268">
        <f>+COUNTIF([1]movimientos!$I:$I,B268)</f>
        <v>0</v>
      </c>
    </row>
    <row r="269" spans="1:7" x14ac:dyDescent="0.2">
      <c r="A269" s="3">
        <v>45866</v>
      </c>
      <c r="B269" s="4" t="s">
        <v>272</v>
      </c>
      <c r="C269" s="4" t="s">
        <v>25</v>
      </c>
      <c r="D269" s="9">
        <v>460.02</v>
      </c>
      <c r="E269" s="9">
        <v>0</v>
      </c>
      <c r="F269" s="4" t="s">
        <v>13</v>
      </c>
      <c r="G269">
        <f>+COUNTIF([1]movimientos!$I:$I,B269)</f>
        <v>0</v>
      </c>
    </row>
    <row r="270" spans="1:7" x14ac:dyDescent="0.2">
      <c r="A270" s="3">
        <v>45866</v>
      </c>
      <c r="B270" s="4" t="s">
        <v>277</v>
      </c>
      <c r="C270" s="4" t="s">
        <v>56</v>
      </c>
      <c r="D270" s="9">
        <v>0</v>
      </c>
      <c r="E270" s="9">
        <v>125</v>
      </c>
      <c r="F270" s="4"/>
      <c r="G270">
        <f>+COUNTIF([1]movimientos!$I:$I,B270)</f>
        <v>0</v>
      </c>
    </row>
    <row r="271" spans="1:7" x14ac:dyDescent="0.2">
      <c r="A271" s="2">
        <v>45859</v>
      </c>
      <c r="B271" t="s">
        <v>201</v>
      </c>
      <c r="C271" t="s">
        <v>17</v>
      </c>
      <c r="D271" s="8">
        <v>0</v>
      </c>
      <c r="E271" s="8">
        <v>0.05</v>
      </c>
      <c r="F271" t="s">
        <v>16</v>
      </c>
      <c r="G271">
        <f>+COUNTIF([1]movimientos!$I:$I,B271)</f>
        <v>1</v>
      </c>
    </row>
    <row r="272" spans="1:7" x14ac:dyDescent="0.2">
      <c r="A272" s="3">
        <v>45869</v>
      </c>
      <c r="B272" s="4" t="s">
        <v>337</v>
      </c>
      <c r="C272" s="4" t="s">
        <v>25</v>
      </c>
      <c r="D272" s="9">
        <v>103</v>
      </c>
      <c r="E272" s="9">
        <v>0</v>
      </c>
      <c r="F272" s="4" t="s">
        <v>13</v>
      </c>
      <c r="G272">
        <f>+COUNTIF([1]movimientos!$I:$I,B272)</f>
        <v>0</v>
      </c>
    </row>
    <row r="274" spans="4:5" x14ac:dyDescent="0.2">
      <c r="D274" s="8">
        <f t="shared" ref="D274:E274" si="0">+SUM(D248:D272)</f>
        <v>1995.3600000000001</v>
      </c>
      <c r="E274" s="8">
        <f t="shared" si="0"/>
        <v>1214.6799999999998</v>
      </c>
    </row>
    <row r="275" spans="4:5" x14ac:dyDescent="0.2">
      <c r="D275" s="8">
        <f>+D274-SISTEMA!F29</f>
        <v>0</v>
      </c>
      <c r="E275" s="8">
        <f>+E274-SISTEMA!G29</f>
        <v>-154.84000000000015</v>
      </c>
    </row>
  </sheetData>
  <autoFilter ref="A1:G1" xr:uid="{00000000-0001-0000-0000-000000000000}"/>
  <pageMargins left="0.75" right="0.75" top="1" bottom="1" header="0.5" footer="0.5"/>
  <pageSetup paperSize="25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selection activeCell="G2" sqref="G2"/>
    </sheetView>
  </sheetViews>
  <sheetFormatPr baseColWidth="10" defaultColWidth="8.83203125" defaultRowHeight="15" x14ac:dyDescent="0.2"/>
  <cols>
    <col min="6" max="6" width="10.33203125" style="8" bestFit="1" customWidth="1"/>
    <col min="7" max="7" width="10.1640625" style="8" bestFit="1" customWidth="1"/>
  </cols>
  <sheetData>
    <row r="1" spans="1:7" x14ac:dyDescent="0.2">
      <c r="A1" s="1" t="s">
        <v>0</v>
      </c>
      <c r="B1" s="1" t="s">
        <v>346</v>
      </c>
      <c r="C1" s="1" t="s">
        <v>347</v>
      </c>
      <c r="D1" s="1" t="s">
        <v>348</v>
      </c>
      <c r="E1" s="1" t="s">
        <v>349</v>
      </c>
      <c r="F1" s="7" t="s">
        <v>3</v>
      </c>
      <c r="G1" s="7" t="s">
        <v>4</v>
      </c>
    </row>
    <row r="2" spans="1:7" x14ac:dyDescent="0.2">
      <c r="A2" s="2">
        <v>45861</v>
      </c>
      <c r="B2" t="s">
        <v>375</v>
      </c>
      <c r="C2" t="s">
        <v>376</v>
      </c>
      <c r="D2" t="s">
        <v>377</v>
      </c>
      <c r="E2" t="s">
        <v>378</v>
      </c>
      <c r="F2" s="8">
        <v>331.2</v>
      </c>
      <c r="G2" s="8">
        <v>0</v>
      </c>
    </row>
    <row r="3" spans="1:7" x14ac:dyDescent="0.2">
      <c r="A3" s="2">
        <v>45868</v>
      </c>
      <c r="B3" t="s">
        <v>392</v>
      </c>
      <c r="C3" t="s">
        <v>393</v>
      </c>
      <c r="D3" t="s">
        <v>394</v>
      </c>
      <c r="E3" t="s">
        <v>395</v>
      </c>
      <c r="F3" s="8">
        <v>1050.58</v>
      </c>
      <c r="G3" s="8">
        <v>0</v>
      </c>
    </row>
    <row r="4" spans="1:7" x14ac:dyDescent="0.2">
      <c r="A4" s="3">
        <v>45840</v>
      </c>
      <c r="B4" s="4" t="s">
        <v>350</v>
      </c>
      <c r="C4" s="4" t="s">
        <v>24</v>
      </c>
      <c r="D4" s="4" t="s">
        <v>24</v>
      </c>
      <c r="E4" s="4" t="s">
        <v>351</v>
      </c>
      <c r="F4" s="9">
        <v>62.1</v>
      </c>
      <c r="G4" s="9">
        <v>0</v>
      </c>
    </row>
    <row r="5" spans="1:7" x14ac:dyDescent="0.2">
      <c r="A5" s="5">
        <v>45843</v>
      </c>
      <c r="B5" s="6" t="s">
        <v>352</v>
      </c>
      <c r="C5" s="6" t="s">
        <v>353</v>
      </c>
      <c r="D5" s="6" t="s">
        <v>163</v>
      </c>
      <c r="E5" s="6" t="s">
        <v>354</v>
      </c>
      <c r="F5" s="10">
        <v>0</v>
      </c>
      <c r="G5" s="10">
        <v>120</v>
      </c>
    </row>
    <row r="6" spans="1:7" x14ac:dyDescent="0.2">
      <c r="A6" s="5">
        <v>45843</v>
      </c>
      <c r="B6" s="6" t="s">
        <v>355</v>
      </c>
      <c r="C6" s="6" t="s">
        <v>356</v>
      </c>
      <c r="D6" s="6" t="s">
        <v>55</v>
      </c>
      <c r="E6" s="6" t="s">
        <v>357</v>
      </c>
      <c r="F6" s="10">
        <v>0</v>
      </c>
      <c r="G6" s="10">
        <v>100</v>
      </c>
    </row>
    <row r="7" spans="1:7" x14ac:dyDescent="0.2">
      <c r="A7" s="3">
        <v>45845</v>
      </c>
      <c r="B7" s="4" t="s">
        <v>358</v>
      </c>
      <c r="C7" s="4" t="s">
        <v>359</v>
      </c>
      <c r="D7" s="4" t="s">
        <v>58</v>
      </c>
      <c r="E7" s="4" t="s">
        <v>360</v>
      </c>
      <c r="F7" s="9">
        <v>504.09</v>
      </c>
      <c r="G7" s="9">
        <v>0</v>
      </c>
    </row>
    <row r="8" spans="1:7" x14ac:dyDescent="0.2">
      <c r="A8" s="3">
        <v>45845</v>
      </c>
      <c r="B8" s="4" t="s">
        <v>350</v>
      </c>
      <c r="C8" s="4" t="s">
        <v>57</v>
      </c>
      <c r="D8" s="4" t="s">
        <v>57</v>
      </c>
      <c r="E8" s="4" t="s">
        <v>351</v>
      </c>
      <c r="F8" s="9">
        <v>14.49</v>
      </c>
      <c r="G8" s="9">
        <v>0</v>
      </c>
    </row>
    <row r="9" spans="1:7" x14ac:dyDescent="0.2">
      <c r="A9" s="3">
        <v>45848</v>
      </c>
      <c r="B9" s="4" t="s">
        <v>110</v>
      </c>
      <c r="C9" s="4" t="s">
        <v>361</v>
      </c>
      <c r="D9" s="4" t="s">
        <v>109</v>
      </c>
      <c r="E9" s="4" t="s">
        <v>362</v>
      </c>
      <c r="F9" s="9">
        <v>0</v>
      </c>
      <c r="G9" s="9">
        <v>150</v>
      </c>
    </row>
    <row r="10" spans="1:7" x14ac:dyDescent="0.2">
      <c r="A10" s="5">
        <v>45849</v>
      </c>
      <c r="B10" s="6" t="s">
        <v>363</v>
      </c>
      <c r="C10" s="6" t="s">
        <v>364</v>
      </c>
      <c r="D10" s="6" t="s">
        <v>86</v>
      </c>
      <c r="E10" s="6" t="s">
        <v>365</v>
      </c>
      <c r="F10" s="10">
        <v>0</v>
      </c>
      <c r="G10" s="10">
        <v>62.92</v>
      </c>
    </row>
    <row r="11" spans="1:7" x14ac:dyDescent="0.2">
      <c r="A11" s="5">
        <v>45849</v>
      </c>
      <c r="B11" s="6" t="s">
        <v>363</v>
      </c>
      <c r="C11" s="6" t="s">
        <v>366</v>
      </c>
      <c r="D11" s="6" t="s">
        <v>162</v>
      </c>
      <c r="E11" s="6" t="s">
        <v>365</v>
      </c>
      <c r="F11" s="10">
        <v>0</v>
      </c>
      <c r="G11" s="10">
        <v>66.349999999999994</v>
      </c>
    </row>
    <row r="12" spans="1:7" x14ac:dyDescent="0.2">
      <c r="A12" s="5">
        <v>45850</v>
      </c>
      <c r="B12" s="6" t="s">
        <v>352</v>
      </c>
      <c r="C12" s="6" t="s">
        <v>367</v>
      </c>
      <c r="D12" s="6" t="s">
        <v>213</v>
      </c>
      <c r="E12" s="6" t="s">
        <v>354</v>
      </c>
      <c r="F12" s="10">
        <v>0</v>
      </c>
      <c r="G12" s="10">
        <v>120</v>
      </c>
    </row>
    <row r="13" spans="1:7" x14ac:dyDescent="0.2">
      <c r="A13" s="5">
        <v>45850</v>
      </c>
      <c r="B13" s="6" t="s">
        <v>355</v>
      </c>
      <c r="C13" s="6" t="s">
        <v>368</v>
      </c>
      <c r="D13" s="6" t="s">
        <v>202</v>
      </c>
      <c r="E13" s="6" t="s">
        <v>357</v>
      </c>
      <c r="F13" s="10">
        <v>0</v>
      </c>
      <c r="G13" s="10">
        <v>100</v>
      </c>
    </row>
    <row r="14" spans="1:7" x14ac:dyDescent="0.2">
      <c r="A14" s="3">
        <v>45853</v>
      </c>
      <c r="B14" s="4" t="s">
        <v>369</v>
      </c>
      <c r="C14" s="4" t="s">
        <v>370</v>
      </c>
      <c r="D14" s="4" t="s">
        <v>175</v>
      </c>
      <c r="E14" s="4" t="s">
        <v>371</v>
      </c>
      <c r="F14" s="9">
        <v>246.65</v>
      </c>
      <c r="G14" s="9">
        <v>0</v>
      </c>
    </row>
    <row r="15" spans="1:7" x14ac:dyDescent="0.2">
      <c r="A15" s="5">
        <v>45857</v>
      </c>
      <c r="B15" s="6" t="s">
        <v>352</v>
      </c>
      <c r="C15" s="6" t="s">
        <v>372</v>
      </c>
      <c r="D15" s="6" t="s">
        <v>200</v>
      </c>
      <c r="E15" s="6" t="s">
        <v>354</v>
      </c>
      <c r="F15" s="10">
        <v>0</v>
      </c>
      <c r="G15" s="10">
        <v>120</v>
      </c>
    </row>
    <row r="16" spans="1:7" x14ac:dyDescent="0.2">
      <c r="A16" s="5">
        <v>45857</v>
      </c>
      <c r="B16" s="6" t="s">
        <v>355</v>
      </c>
      <c r="C16" s="6" t="s">
        <v>373</v>
      </c>
      <c r="D16" s="6" t="s">
        <v>134</v>
      </c>
      <c r="E16" s="6" t="s">
        <v>357</v>
      </c>
      <c r="F16" s="10">
        <v>0</v>
      </c>
      <c r="G16" s="10">
        <v>100</v>
      </c>
    </row>
    <row r="17" spans="1:7" x14ac:dyDescent="0.2">
      <c r="A17" s="3">
        <v>45859</v>
      </c>
      <c r="B17" s="4" t="s">
        <v>350</v>
      </c>
      <c r="C17" s="4" t="s">
        <v>204</v>
      </c>
      <c r="D17" s="4" t="s">
        <v>204</v>
      </c>
      <c r="E17" s="4" t="s">
        <v>351</v>
      </c>
      <c r="F17" s="9">
        <v>104.88</v>
      </c>
      <c r="G17" s="9">
        <v>0</v>
      </c>
    </row>
    <row r="18" spans="1:7" x14ac:dyDescent="0.2">
      <c r="A18" s="3">
        <v>45859</v>
      </c>
      <c r="B18" s="4" t="s">
        <v>350</v>
      </c>
      <c r="C18" s="4" t="s">
        <v>205</v>
      </c>
      <c r="D18" s="4" t="s">
        <v>205</v>
      </c>
      <c r="E18" s="4" t="s">
        <v>351</v>
      </c>
      <c r="F18" s="9">
        <v>120</v>
      </c>
      <c r="G18" s="9">
        <v>0</v>
      </c>
    </row>
    <row r="19" spans="1:7" x14ac:dyDescent="0.2">
      <c r="A19" s="3">
        <v>45860</v>
      </c>
      <c r="B19" s="4" t="s">
        <v>110</v>
      </c>
      <c r="C19" s="4" t="s">
        <v>374</v>
      </c>
      <c r="D19" s="4" t="s">
        <v>215</v>
      </c>
      <c r="E19" s="4" t="s">
        <v>362</v>
      </c>
      <c r="F19" s="9">
        <v>0</v>
      </c>
      <c r="G19" s="9">
        <v>150</v>
      </c>
    </row>
    <row r="20" spans="1:7" x14ac:dyDescent="0.2">
      <c r="A20" s="3">
        <v>45861</v>
      </c>
      <c r="B20" s="4" t="s">
        <v>375</v>
      </c>
      <c r="C20" s="4" t="s">
        <v>379</v>
      </c>
      <c r="D20" s="4" t="s">
        <v>229</v>
      </c>
      <c r="E20" s="4" t="s">
        <v>380</v>
      </c>
      <c r="F20" s="9">
        <v>35</v>
      </c>
      <c r="G20" s="9">
        <v>0</v>
      </c>
    </row>
    <row r="21" spans="1:7" x14ac:dyDescent="0.2">
      <c r="A21" s="3">
        <v>45862</v>
      </c>
      <c r="B21" s="4" t="s">
        <v>381</v>
      </c>
      <c r="C21" s="4" t="s">
        <v>382</v>
      </c>
      <c r="D21" s="4" t="s">
        <v>240</v>
      </c>
      <c r="E21" s="4" t="s">
        <v>383</v>
      </c>
      <c r="F21" s="9">
        <v>15.52</v>
      </c>
      <c r="G21" s="9">
        <v>0</v>
      </c>
    </row>
    <row r="22" spans="1:7" x14ac:dyDescent="0.2">
      <c r="A22" s="3">
        <v>45862</v>
      </c>
      <c r="B22" s="4" t="s">
        <v>384</v>
      </c>
      <c r="C22" s="4" t="s">
        <v>385</v>
      </c>
      <c r="D22" s="4" t="s">
        <v>241</v>
      </c>
      <c r="E22" s="4" t="s">
        <v>386</v>
      </c>
      <c r="F22" s="9">
        <v>204.61</v>
      </c>
      <c r="G22" s="9">
        <v>0</v>
      </c>
    </row>
    <row r="23" spans="1:7" x14ac:dyDescent="0.2">
      <c r="A23" s="3">
        <v>45862</v>
      </c>
      <c r="B23" s="4" t="s">
        <v>350</v>
      </c>
      <c r="C23" s="4" t="s">
        <v>242</v>
      </c>
      <c r="D23" s="4" t="s">
        <v>242</v>
      </c>
      <c r="E23" s="4" t="s">
        <v>351</v>
      </c>
      <c r="F23" s="9">
        <v>125</v>
      </c>
      <c r="G23" s="9">
        <v>0</v>
      </c>
    </row>
    <row r="24" spans="1:7" x14ac:dyDescent="0.2">
      <c r="A24" s="3">
        <v>45866</v>
      </c>
      <c r="B24" s="4" t="s">
        <v>358</v>
      </c>
      <c r="C24" s="4" t="s">
        <v>387</v>
      </c>
      <c r="D24" s="4" t="s">
        <v>272</v>
      </c>
      <c r="E24" s="4" t="s">
        <v>388</v>
      </c>
      <c r="F24" s="9">
        <v>460.02</v>
      </c>
      <c r="G24" s="9">
        <v>0</v>
      </c>
    </row>
    <row r="25" spans="1:7" x14ac:dyDescent="0.2">
      <c r="A25" s="3">
        <v>45866</v>
      </c>
      <c r="B25" s="4" t="s">
        <v>355</v>
      </c>
      <c r="C25" s="4" t="s">
        <v>389</v>
      </c>
      <c r="D25" s="4" t="s">
        <v>277</v>
      </c>
      <c r="E25" s="4" t="s">
        <v>357</v>
      </c>
      <c r="F25" s="9">
        <v>0</v>
      </c>
      <c r="G25" s="9">
        <v>125</v>
      </c>
    </row>
    <row r="26" spans="1:7" x14ac:dyDescent="0.2">
      <c r="A26" s="3">
        <v>45866</v>
      </c>
      <c r="B26" s="4" t="s">
        <v>110</v>
      </c>
      <c r="C26" s="4" t="s">
        <v>390</v>
      </c>
      <c r="D26" s="4" t="s">
        <v>280</v>
      </c>
      <c r="E26" s="4" t="s">
        <v>391</v>
      </c>
      <c r="F26" s="9">
        <v>0</v>
      </c>
      <c r="G26" s="9">
        <v>155.25</v>
      </c>
    </row>
    <row r="27" spans="1:7" x14ac:dyDescent="0.2">
      <c r="A27" s="3">
        <v>45869</v>
      </c>
      <c r="B27" s="4" t="s">
        <v>350</v>
      </c>
      <c r="C27" s="4" t="s">
        <v>337</v>
      </c>
      <c r="D27" s="4" t="s">
        <v>337</v>
      </c>
      <c r="E27" s="4" t="s">
        <v>351</v>
      </c>
      <c r="F27" s="9">
        <v>103</v>
      </c>
      <c r="G27" s="9">
        <v>0</v>
      </c>
    </row>
    <row r="29" spans="1:7" x14ac:dyDescent="0.2">
      <c r="F29" s="8">
        <f t="shared" ref="F29:G29" si="0">+SUM(F4:F27)</f>
        <v>1995.3600000000001</v>
      </c>
      <c r="G29" s="8">
        <f t="shared" si="0"/>
        <v>1369.52</v>
      </c>
    </row>
  </sheetData>
  <autoFilter ref="A1:G1" xr:uid="{00000000-0001-0000-0100-000000000000}">
    <sortState xmlns:xlrd2="http://schemas.microsoft.com/office/spreadsheetml/2017/richdata2" ref="A2:G27">
      <sortCondition sortBy="cellColor" ref="F1:F27" dxfId="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RODRIGUEZ</cp:lastModifiedBy>
  <dcterms:created xsi:type="dcterms:W3CDTF">2025-08-25T21:10:20Z</dcterms:created>
  <dcterms:modified xsi:type="dcterms:W3CDTF">2025-08-25T21:17:11Z</dcterms:modified>
</cp:coreProperties>
</file>